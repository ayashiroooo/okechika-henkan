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511" documentId="8_{D8CBA9BD-D283-4E9A-B411-3B84A074FC47}" xr6:coauthVersionLast="47" xr6:coauthVersionMax="47" xr10:uidLastSave="{1D550DB7-F1D4-43B4-909C-04BF8FCBFB8B}"/>
  <bookViews>
    <workbookView xWindow="-105" yWindow="0" windowWidth="1461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5" l="1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<sst xmlns="http://schemas.openxmlformats.org/spreadsheetml/2006/main" count="2939" uniqueCount="2550">
  <si>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</si>
  <si>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</si>
  <si>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</si>
  <si>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</si>
  <si>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</si>
  <si>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</si>
  <si>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</si>
  <si>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</si>
  <si>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</si>
  <si>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</si>
  <si>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</si>
  <si>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</si>
  <si>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</si>
  <si>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</si>
  <si>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</si>
  <si>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</si>
  <si>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</si>
  <si>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</si>
  <si>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</si>
  <si>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</si>
  <si>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</si>
  <si>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</si>
  <si>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</si>
  <si>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</si>
  <si>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</si>
  <si>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</si>
  <si>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</si>
  <si>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</si>
  <si>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</si>
  <si>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</si>
  <si>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</si>
  <si>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</si>
  <si>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</si>
  <si>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</si>
  <si>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</si>
  <si>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</si>
  <si>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</si>
  <si>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</si>
  <si>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</si>
  <si>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</si>
  <si>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</si>
  <si>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</si>
  <si>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</si>
  <si>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</si>
  <si>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</si>
  <si>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</si>
  <si>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</si>
  <si>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</si>
  <si>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</si>
  <si>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</si>
  <si>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</si>
  <si>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</si>
  <si>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</si>
  <si>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</si>
  <si>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</si>
  <si>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</si>
  <si>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</si>
  <si>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</si>
  <si>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</si>
  <si>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</si>
  <si>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</si>
  <si>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</si>
  <si>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</si>
  <si>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</si>
  <si>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</si>
  <si>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</si>
  <si>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</si>
  <si>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</si>
  <si>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</si>
  <si>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</si>
  <si>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</si>
  <si>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</si>
  <si>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</si>
  <si>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</si>
  <si>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</si>
  <si>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</si>
  <si>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</si>
  <si>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</si>
  <si>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</si>
  <si>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</si>
  <si>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</si>
  <si>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</si>
  <si>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</si>
  <si>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</si>
  <si>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</si>
  <si>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</si>
  <si>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</si>
  <si>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</si>
  <si>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</si>
  <si>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</si>
  <si>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</si>
  <si>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</si>
  <si>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</si>
  <si>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</si>
  <si>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</si>
  <si>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</si>
  <si>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</si>
  <si>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</si>
  <si>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</si>
  <si>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</si>
  <si>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</si>
  <si>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</si>
  <si>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</si>
  <si>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</si>
  <si>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</si>
  <si>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</si>
  <si>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</si>
  <si>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</si>
  <si>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</si>
  <si>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</si>
  <si>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</si>
  <si>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</si>
  <si>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</si>
  <si>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</si>
  <si>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</si>
  <si>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</si>
  <si>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</si>
  <si>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</si>
  <si>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</si>
  <si>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</si>
  <si>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</si>
  <si>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</si>
  <si>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</si>
  <si>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</si>
  <si>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</si>
  <si>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</si>
  <si>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</si>
  <si>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</si>
  <si>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</si>
  <si>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</si>
  <si>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</si>
  <si>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</si>
  <si>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</si>
  <si>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</si>
  <si>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</si>
  <si>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</si>
  <si>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</si>
  <si>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</si>
  <si>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</si>
  <si>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</si>
  <si>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</si>
  <si>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</si>
  <si>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</si>
  <si>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</si>
  <si>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</si>
  <si>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</si>
  <si>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</si>
  <si>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</si>
  <si>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</si>
  <si>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</si>
  <si>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</si>
  <si>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</si>
  <si>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</si>
  <si>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</si>
  <si>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</si>
  <si>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</si>
  <si>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</si>
  <si>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</si>
  <si>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</si>
  <si>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</si>
  <si>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</si>
  <si>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</si>
  <si>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</si>
  <si>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</si>
  <si>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</si>
  <si>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</si>
  <si>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</si>
  <si>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</si>
  <si>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</si>
  <si>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</si>
  <si>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</si>
  <si>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</si>
  <si>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</si>
  <si>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</si>
  <si>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</si>
  <si>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</si>
  <si>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</si>
  <si>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</si>
  <si>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</si>
  <si>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</si>
  <si>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</si>
  <si>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</si>
  <si>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</si>
  <si>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</si>
  <si>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</si>
  <si>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</si>
  <si>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</si>
  <si>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</si>
  <si>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</si>
  <si>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</si>
  <si>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</si>
  <si>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</si>
  <si>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</si>
  <si>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</si>
  <si>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</si>
  <si>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</si>
  <si>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</si>
  <si>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</si>
  <si>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</si>
  <si>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</si>
  <si>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</si>
  <si>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</si>
  <si>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</si>
  <si>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</si>
  <si>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</si>
  <si>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</si>
  <si>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</si>
  <si>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</si>
  <si>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</si>
  <si>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</si>
  <si>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</si>
  <si>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</si>
  <si>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</si>
  <si>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</si>
  <si>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</si>
  <si>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</si>
  <si>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</si>
  <si>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</si>
  <si>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</si>
  <si>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</si>
  <si>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</si>
  <si>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</si>
  <si>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</si>
  <si>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</si>
  <si>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</si>
  <si>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</si>
  <si>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</si>
  <si>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</si>
  <si>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</si>
  <si>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</si>
  <si>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</si>
  <si>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</si>
  <si>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</si>
  <si>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</si>
  <si>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</si>
  <si>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</si>
  <si>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</si>
  <si>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</si>
  <si>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</si>
  <si>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</si>
  <si>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</si>
  <si>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</si>
  <si>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</si>
  <si>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</si>
  <si>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</si>
  <si>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</si>
  <si>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</si>
  <si>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</si>
  <si>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</si>
  <si>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</si>
  <si>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</si>
  <si>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</si>
  <si>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</si>
  <si>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</si>
  <si>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</si>
  <si>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</si>
  <si>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</si>
  <si>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</si>
  <si>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</si>
  <si>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</si>
  <si>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</si>
  <si>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</si>
  <si>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</si>
  <si>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</si>
  <si>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</si>
  <si>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</si>
  <si>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</si>
  <si>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</si>
  <si>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</si>
  <si>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</si>
  <si>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</si>
  <si>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</si>
  <si>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</si>
  <si>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</si>
  <si>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</si>
  <si>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</si>
  <si>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</si>
  <si>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</si>
  <si>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</si>
  <si>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</si>
  <si>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</si>
  <si>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</si>
  <si>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</si>
  <si>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</si>
  <si>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</si>
  <si>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</si>
  <si>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</si>
  <si>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</si>
  <si>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</si>
  <si>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</si>
  <si>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</si>
  <si>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</si>
  <si>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</si>
  <si>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</si>
  <si>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</si>
  <si>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</si>
  <si>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</si>
  <si>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</si>
  <si>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</si>
  <si>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</si>
  <si>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</si>
  <si>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</si>
  <si>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</si>
  <si>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</si>
  <si>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</si>
  <si>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</si>
  <si>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</si>
  <si>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</si>
  <si>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</si>
  <si>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</si>
  <si>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</si>
  <si>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</si>
  <si>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</si>
  <si>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</si>
  <si>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</si>
  <si>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</si>
  <si>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</si>
  <si>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</si>
  <si>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</si>
  <si>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</si>
  <si>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</si>
  <si>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</si>
  <si>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</si>
  <si>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</si>
  <si>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</si>
  <si>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</si>
  <si>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</si>
  <si>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</si>
  <si>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</si>
  <si>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</si>
  <si>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</si>
  <si>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</si>
  <si>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</si>
  <si>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</si>
  <si>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</si>
  <si>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</si>
  <si>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</si>
  <si>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</si>
  <si>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</si>
  <si>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</si>
  <si>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</si>
  <si>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</si>
  <si>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</si>
  <si>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</si>
  <si>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</si>
  <si>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</si>
  <si>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</si>
  <si>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</si>
  <si>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</si>
  <si>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</si>
  <si>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</si>
  <si>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</si>
  <si>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</si>
  <si>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</si>
  <si>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</si>
  <si>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</si>
  <si>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</si>
  <si>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</si>
  <si>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</si>
  <si>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</si>
  <si>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</si>
  <si>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</si>
  <si>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</si>
  <si>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</si>
  <si>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</si>
  <si>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</si>
  <si>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</si>
  <si>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</si>
  <si>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</si>
  <si>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</si>
  <si>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</si>
  <si>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</si>
  <si>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</si>
  <si>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</si>
  <si>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</si>
  <si>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</si>
  <si>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</si>
  <si>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</si>
  <si>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</si>
  <si>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</si>
  <si>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</si>
  <si>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</si>
  <si>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</si>
  <si>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</si>
  <si>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</si>
  <si>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</si>
  <si>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</si>
  <si>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</si>
  <si>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</si>
  <si>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</si>
  <si>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</si>
  <si>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</si>
  <si>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</si>
  <si>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</si>
  <si>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</si>
  <si>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</si>
  <si>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</si>
  <si>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</si>
  <si>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</si>
  <si>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</si>
  <si>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</si>
  <si>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</si>
  <si>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</si>
  <si>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</si>
  <si>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</si>
  <si>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</si>
  <si>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</si>
  <si>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</si>
  <si>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</si>
  <si>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</si>
  <si>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</si>
  <si>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</si>
  <si>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</si>
  <si>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</si>
  <si>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</si>
  <si>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</si>
  <si>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</si>
  <si>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</si>
  <si>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</si>
  <si>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</si>
  <si>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</si>
  <si>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</si>
  <si>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</si>
  <si>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</si>
  <si>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</si>
  <si>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</si>
  <si>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</si>
  <si>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</si>
  <si>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</si>
  <si>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</si>
  <si>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</si>
  <si>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</si>
  <si>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</si>
  <si>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</si>
  <si>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</si>
  <si>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</si>
  <si>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</si>
  <si>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</si>
  <si>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</si>
  <si>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</si>
  <si>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</si>
  <si>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</si>
  <si>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</si>
  <si>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</si>
  <si>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</si>
  <si>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</si>
  <si>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</si>
  <si>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</si>
  <si>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</si>
  <si>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</si>
  <si>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</si>
  <si>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</si>
  <si>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</si>
  <si>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</si>
  <si>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</si>
  <si>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</si>
  <si>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</si>
  <si>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</si>
  <si>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</si>
  <si>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</si>
  <si>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</si>
  <si>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</si>
  <si>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</si>
  <si>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</si>
  <si>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</si>
  <si>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</si>
  <si>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</si>
  <si>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</si>
  <si>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</si>
  <si>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</si>
  <si>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</si>
  <si>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</si>
  <si>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</si>
  <si>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</si>
  <si>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</si>
  <si>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</si>
  <si>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</si>
  <si>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</si>
  <si>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</si>
  <si>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</si>
  <si>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</si>
  <si>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</si>
  <si>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</si>
  <si>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</si>
  <si>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</si>
  <si>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</si>
  <si>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</si>
  <si>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</si>
  <si>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</si>
  <si>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</si>
  <si>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</si>
  <si>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</si>
  <si>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</si>
  <si>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</si>
  <si>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</si>
  <si>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</si>
  <si>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</si>
  <si>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</si>
  <si>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</si>
  <si>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</si>
  <si>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</si>
  <si>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</si>
  <si>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</si>
  <si>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</si>
  <si>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</si>
  <si>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</si>
  <si>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</si>
  <si>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</si>
  <si>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</si>
  <si>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</si>
  <si>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</si>
  <si>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</si>
  <si>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</si>
  <si>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</si>
  <si>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</si>
  <si>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</si>
  <si>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</si>
  <si>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</si>
  <si>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</si>
  <si>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</si>
  <si>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</si>
  <si>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</si>
  <si>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</si>
  <si>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</si>
  <si>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</si>
  <si>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</si>
  <si>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</si>
  <si>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</si>
  <si>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</si>
  <si>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</si>
  <si>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</si>
  <si>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</si>
  <si>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</si>
  <si>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</si>
  <si>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</si>
  <si>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</si>
  <si>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</si>
  <si>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</si>
  <si>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</si>
  <si>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</si>
  <si>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</si>
  <si>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</si>
  <si>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</si>
  <si>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</si>
  <si>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</si>
  <si>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</si>
  <si>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</si>
  <si>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</si>
  <si>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</si>
  <si>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</si>
  <si>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</si>
  <si>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</si>
  <si>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</si>
  <si>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</si>
  <si>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</si>
  <si>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</si>
  <si>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</si>
  <si>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</si>
  <si>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</si>
  <si>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</si>
  <si>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</si>
  <si>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</si>
  <si>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</si>
  <si>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</si>
  <si>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</si>
  <si>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</si>
  <si>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</si>
  <si>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</si>
  <si>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</si>
  <si>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</si>
  <si>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</si>
  <si>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</si>
  <si>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</si>
  <si>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</si>
  <si>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</si>
  <si>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</si>
  <si>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</si>
  <si>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</si>
  <si>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</si>
  <si>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</si>
  <si>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</si>
  <si>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</si>
  <si>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</si>
  <si>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</si>
  <si>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</si>
  <si>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</si>
  <si>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</si>
  <si>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</si>
  <si>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</si>
  <si>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</si>
  <si>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</si>
  <si>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</si>
  <si>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</si>
  <si>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</si>
  <si>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</si>
  <si>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</si>
  <si>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</si>
  <si>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</si>
  <si>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</si>
  <si>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</si>
  <si>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</si>
  <si>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</si>
  <si>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</si>
  <si>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</si>
  <si>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</si>
  <si>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</si>
  <si>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</si>
  <si>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</si>
  <si>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</si>
  <si>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</si>
  <si>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</si>
  <si>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</si>
  <si>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</si>
  <si>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</si>
  <si>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</si>
  <si>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</si>
  <si>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</si>
  <si>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</si>
  <si>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</si>
  <si>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</si>
  <si>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</si>
  <si>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</si>
  <si>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</si>
  <si>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</si>
  <si>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</si>
  <si>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</si>
  <si>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</si>
  <si>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</si>
  <si>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</si>
  <si>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</si>
  <si>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</si>
  <si>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</si>
  <si>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</si>
  <si>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</si>
  <si>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</si>
  <si>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</si>
  <si>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</si>
  <si>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</si>
  <si>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</si>
  <si>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</si>
  <si>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</si>
  <si>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</si>
  <si>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</si>
  <si>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</si>
  <si>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</si>
  <si>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</si>
  <si>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</si>
  <si>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</si>
  <si>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</si>
  <si>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</si>
  <si>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</si>
  <si>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</si>
  <si>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</si>
  <si>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</si>
  <si>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</si>
  <si>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</si>
  <si>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</si>
  <si>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</si>
  <si>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</si>
  <si>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</si>
  <si>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</si>
  <si>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</si>
  <si>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</si>
  <si>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</si>
  <si>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</si>
  <si>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</si>
  <si>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</si>
  <si>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</si>
  <si>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</si>
  <si>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</si>
  <si>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</si>
  <si>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</si>
  <si>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</si>
  <si>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</si>
  <si>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</si>
  <si>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</si>
  <si>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</si>
  <si>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</si>
  <si>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</si>
  <si>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</si>
  <si>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</si>
  <si>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</si>
  <si>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</si>
  <si>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</si>
  <si>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</si>
  <si>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</si>
  <si>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</si>
  <si>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</si>
  <si>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</si>
  <si>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</si>
  <si>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</si>
  <si>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</si>
  <si>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</si>
  <si>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</si>
  <si>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</si>
  <si>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</si>
  <si>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</si>
  <si>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</si>
  <si>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</si>
  <si>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</si>
  <si>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</si>
  <si>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</si>
  <si>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</si>
  <si>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</si>
  <si>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</si>
  <si>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</si>
  <si>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</si>
  <si>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</si>
  <si>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</si>
  <si>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</si>
  <si>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</si>
  <si>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</si>
  <si>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</si>
  <si>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</si>
  <si>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</si>
  <si>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</si>
  <si>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</si>
  <si>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</si>
  <si>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</si>
  <si>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</si>
  <si>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</si>
  <si>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</si>
  <si>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</si>
  <si>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</si>
  <si>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</si>
  <si>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</si>
  <si>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</si>
  <si>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</si>
  <si>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</si>
  <si>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</si>
  <si>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</si>
  <si>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</si>
  <si>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</si>
  <si>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</si>
  <si>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</si>
  <si>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</si>
  <si>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</si>
  <si>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</si>
  <si>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</si>
  <si>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</si>
  <si>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</si>
  <si>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</si>
  <si>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</si>
  <si>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</si>
  <si>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</si>
  <si>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</si>
  <si>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</si>
  <si>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</si>
  <si>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</si>
  <si>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</si>
  <si>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</si>
  <si>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</si>
  <si>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</si>
  <si>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</si>
  <si>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</si>
  <si>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</si>
  <si>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</si>
  <si>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</si>
  <si>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</si>
  <si>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</si>
  <si>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</si>
  <si>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</si>
  <si>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</si>
  <si>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</si>
  <si>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</si>
  <si>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</si>
  <si>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</si>
  <si>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</si>
  <si>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</si>
  <si>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</si>
  <si>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</si>
  <si>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</si>
  <si>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</si>
  <si>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</si>
  <si>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</si>
  <si>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</si>
  <si>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</si>
  <si>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</si>
  <si>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</si>
  <si>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</si>
  <si>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</si>
  <si>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</si>
  <si>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</si>
  <si>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</si>
  <si>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</si>
  <si>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</si>
  <si>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</si>
  <si>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</si>
  <si>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</si>
  <si>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</si>
  <si>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</si>
  <si>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</si>
  <si>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</si>
  <si>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</si>
  <si>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</si>
  <si>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</si>
  <si>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</si>
  <si>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</si>
  <si>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</si>
  <si>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</si>
  <si>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</si>
  <si>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</si>
  <si>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</si>
  <si>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</si>
  <si>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</si>
  <si>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</si>
  <si>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</si>
  <si>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</si>
  <si>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</si>
  <si>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</si>
  <si>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</si>
  <si>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</si>
  <si>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</si>
  <si>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</si>
  <si>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</si>
  <si>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</si>
  <si>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</si>
  <si>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</si>
  <si>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</si>
  <si>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</si>
  <si>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</si>
  <si>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</si>
  <si>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</si>
  <si>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</si>
  <si>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</si>
  <si>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</si>
  <si>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</si>
  <si>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</si>
  <si>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</si>
  <si>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</si>
  <si>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</si>
  <si>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</si>
  <si>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</si>
  <si>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</si>
  <si>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</si>
  <si>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</si>
  <si>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</si>
  <si>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</si>
  <si>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</si>
  <si>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</si>
  <si>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</si>
  <si>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</si>
  <si>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</si>
  <si>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</si>
  <si>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</si>
  <si>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</si>
  <si>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</si>
  <si>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</si>
  <si>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</si>
  <si>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</si>
  <si>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</si>
  <si>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</si>
  <si>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</si>
  <si>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</si>
  <si>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</si>
  <si>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</si>
  <si>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</si>
  <si>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</si>
  <si>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</si>
  <si>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</si>
  <si>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</si>
  <si>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</si>
  <si>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</si>
  <si>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</si>
  <si>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</si>
  <si>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</si>
  <si>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</si>
  <si>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</si>
  <si>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</si>
  <si>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</si>
  <si>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</si>
  <si>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</si>
  <si>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</si>
  <si>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</si>
  <si>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</si>
  <si>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</si>
  <si>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</si>
  <si>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</si>
  <si>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</si>
  <si>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</si>
  <si>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</si>
  <si>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</si>
  <si>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</si>
  <si>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</si>
  <si>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</si>
  <si>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</si>
  <si>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</si>
  <si>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</si>
  <si>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</si>
  <si>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</si>
  <si>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</si>
  <si>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</si>
  <si>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</si>
  <si>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</si>
  <si>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</si>
  <si>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</si>
  <si>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</si>
  <si>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</si>
  <si>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</si>
  <si>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</si>
  <si>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</si>
  <si>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</si>
  <si>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</si>
  <si>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</si>
  <si>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</si>
  <si>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</si>
  <si>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</si>
  <si>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</si>
  <si>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</si>
  <si>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</si>
  <si>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</si>
  <si>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</si>
  <si>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</si>
  <si>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</si>
  <si>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</si>
  <si>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</si>
  <si>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</si>
  <si>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</si>
  <si>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</si>
  <si>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</si>
  <si>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</si>
  <si>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</si>
  <si>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</si>
  <si>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</si>
  <si>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</si>
  <si>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</si>
  <si>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</si>
  <si>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</si>
  <si>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</si>
  <si>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</si>
  <si>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</si>
  <si>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</si>
  <si>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</si>
  <si>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</si>
  <si>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</si>
  <si>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</si>
  <si>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</si>
  <si>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</si>
  <si>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</si>
  <si>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</si>
  <si>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</si>
  <si>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</si>
  <si>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</si>
  <si>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</si>
  <si>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</si>
  <si>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</si>
  <si>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</si>
  <si>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</si>
  <si>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</si>
  <si>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</si>
  <si>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</si>
  <si>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</si>
  <si>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</si>
  <si>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</si>
  <si>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</si>
  <si>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</si>
  <si>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</si>
  <si>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</si>
  <si>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</si>
  <si>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</si>
  <si>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</si>
  <si>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</si>
  <si>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</si>
  <si>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</si>
  <si>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</si>
  <si>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</si>
  <si>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</si>
  <si>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</si>
  <si>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</si>
  <si>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</si>
  <si>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</si>
  <si>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</si>
  <si>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</si>
  <si>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</si>
  <si>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</si>
  <si>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</si>
  <si>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</si>
  <si>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</si>
  <si>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</si>
  <si>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</si>
  <si>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</si>
  <si>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</si>
  <si>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</si>
  <si>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</si>
  <si>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</si>
  <si>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</si>
  <si>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</si>
  <si>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</si>
  <si>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</si>
  <si>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</si>
  <si>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</si>
  <si>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</si>
  <si>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</si>
  <si>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</si>
  <si>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</si>
  <si>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</si>
  <si>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</si>
  <si>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</si>
  <si>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</si>
  <si>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</si>
  <si>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</si>
  <si>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</si>
  <si>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</si>
  <si>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</si>
  <si>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</si>
  <si>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</si>
  <si>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</si>
  <si>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</si>
  <si>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</si>
  <si>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</si>
  <si>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</si>
  <si>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</si>
  <si>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</si>
  <si>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</si>
  <si>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</si>
  <si>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</si>
  <si>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</si>
  <si>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</si>
  <si>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</si>
  <si>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</si>
  <si>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</si>
  <si>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</si>
  <si>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</si>
  <si>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</si>
  <si>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</si>
  <si>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</si>
  <si>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</si>
  <si>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</si>
  <si>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</si>
  <si>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</si>
  <si>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</si>
  <si>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</si>
  <si>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</si>
  <si>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</si>
  <si>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</si>
  <si>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</si>
  <si>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</si>
  <si>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</si>
  <si>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</si>
  <si>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</si>
  <si>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</si>
  <si>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</si>
  <si>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</si>
  <si>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</si>
  <si>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</si>
  <si>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</si>
  <si>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</si>
  <si>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</si>
  <si>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</si>
  <si>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</si>
  <si>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</si>
  <si>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</si>
  <si>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</si>
  <si>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</si>
  <si>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</si>
  <si>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</si>
  <si>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</si>
  <si>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</si>
  <si>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</si>
  <si>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</si>
  <si>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</si>
  <si>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</si>
  <si>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</si>
  <si>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</si>
  <si>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</si>
  <si>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</si>
  <si>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</si>
  <si>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</si>
  <si>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</si>
  <si>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</si>
  <si>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</si>
  <si>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</si>
  <si>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</si>
  <si>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</si>
  <si>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</si>
  <si>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</si>
  <si>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</si>
  <si>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</si>
  <si>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</si>
  <si>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</si>
  <si>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</si>
  <si>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</si>
  <si>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</si>
  <si>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</si>
  <si>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</si>
  <si>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</si>
  <si>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</si>
  <si>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</si>
  <si>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</si>
  <si>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</si>
  <si>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</si>
  <si>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</si>
  <si>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</si>
  <si>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</si>
  <si>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</si>
  <si>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</si>
  <si>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</si>
  <si>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</si>
  <si>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</si>
  <si>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</si>
  <si>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</si>
  <si>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</si>
  <si>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</si>
  <si>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</si>
  <si>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</si>
  <si>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</si>
  <si>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</si>
  <si>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</si>
  <si>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</si>
  <si>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</si>
  <si>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</si>
  <si>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</si>
  <si>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</si>
  <si>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</si>
  <si>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</si>
  <si>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</si>
  <si>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</si>
  <si>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</si>
  <si>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</si>
  <si>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</si>
  <si>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</si>
  <si>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</si>
  <si>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</si>
  <si>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</si>
  <si>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</si>
  <si>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</si>
  <si>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</si>
  <si>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</si>
  <si>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</si>
  <si>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</si>
  <si>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</si>
  <si>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</si>
  <si>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</si>
  <si>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</si>
  <si>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</si>
  <si>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</si>
  <si>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</si>
  <si>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</si>
  <si>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</si>
  <si>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</si>
  <si>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</si>
  <si>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</si>
  <si>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</si>
  <si>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</si>
  <si>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</si>
  <si>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</si>
  <si>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</si>
  <si>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</si>
  <si>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</si>
  <si>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</si>
  <si>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</si>
  <si>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</si>
  <si>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</si>
  <si>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</si>
  <si>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</si>
  <si>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</si>
  <si>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</si>
  <si>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</si>
  <si>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</si>
  <si>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</si>
  <si>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</si>
  <si>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</si>
  <si>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</si>
  <si>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</si>
  <si>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</si>
  <si>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</si>
  <si>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</si>
  <si>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</si>
  <si>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</si>
  <si>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</si>
  <si>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</si>
  <si>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</si>
  <si>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</si>
  <si>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</si>
  <si>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</si>
  <si>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</si>
  <si>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</si>
  <si>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</si>
  <si>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</si>
  <si>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</si>
  <si>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</si>
  <si>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</si>
  <si>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</si>
  <si>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</si>
  <si>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</si>
  <si>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</si>
  <si>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</si>
  <si>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</si>
  <si>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</si>
  <si>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</si>
  <si>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</si>
  <si>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</si>
  <si>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</si>
  <si>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</si>
  <si>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</si>
  <si>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</si>
  <si>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</si>
  <si>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</si>
  <si>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</si>
  <si>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</si>
  <si>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</si>
  <si>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</si>
  <si>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</si>
  <si>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</si>
  <si>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</si>
  <si>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</si>
  <si>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</si>
  <si>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</si>
  <si>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</si>
  <si>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</si>
  <si>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</si>
  <si>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</si>
  <si>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</si>
  <si>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</si>
  <si>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</si>
  <si>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</si>
  <si>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</si>
  <si>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</si>
  <si>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</si>
  <si>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</si>
  <si>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</si>
  <si>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</si>
  <si>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</si>
  <si>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</si>
  <si>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</si>
  <si>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</si>
  <si>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</si>
  <si>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</si>
  <si>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</si>
  <si>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</si>
  <si>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</si>
  <si>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</si>
  <si>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</si>
  <si>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</si>
  <si>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</si>
  <si>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</si>
  <si>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</si>
  <si>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</si>
  <si>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</si>
  <si>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</si>
  <si>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</si>
  <si>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</si>
  <si>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</si>
  <si>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</si>
  <si>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</si>
  <si>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</si>
  <si>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</si>
  <si>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</si>
  <si>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</si>
  <si>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</si>
  <si>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</si>
  <si>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</si>
  <si>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</si>
  <si>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</si>
  <si>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</si>
  <si>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</si>
  <si>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</si>
  <si>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</si>
  <si>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</si>
  <si>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</si>
  <si>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</si>
  <si>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</si>
  <si>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</si>
  <si>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</si>
  <si>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</si>
  <si>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</si>
  <si>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</si>
  <si>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</si>
  <si>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</si>
  <si>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</si>
  <si>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</si>
  <si>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</si>
  <si>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</si>
  <si>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</si>
  <si>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</si>
  <si>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</si>
  <si>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</si>
  <si>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</si>
  <si>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</si>
  <si>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</si>
  <si>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</si>
  <si>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</si>
  <si>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</si>
  <si>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</si>
  <si>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</si>
  <si>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</si>
  <si>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</si>
  <si>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</si>
  <si>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</si>
  <si>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</si>
  <si>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</si>
  <si>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</si>
  <si>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</si>
  <si>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</si>
  <si>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</si>
  <si>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</si>
  <si>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</si>
  <si>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</si>
  <si>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</si>
  <si>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</si>
  <si>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</si>
  <si>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</si>
  <si>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</si>
  <si>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</si>
  <si>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</si>
  <si>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</si>
  <si>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</si>
  <si>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</si>
  <si>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</si>
  <si>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</si>
  <si>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</si>
  <si>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</si>
  <si>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</si>
  <si>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</si>
  <si>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</si>
  <si>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</si>
  <si>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</si>
  <si>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</si>
  <si>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</si>
  <si>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</si>
  <si>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</si>
  <si>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</si>
  <si>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</si>
  <si>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</si>
  <si>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</si>
  <si>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</si>
  <si>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</si>
  <si>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</si>
  <si>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</si>
  <si>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</si>
  <si>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</si>
  <si>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</si>
  <si>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</si>
  <si>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</si>
  <si>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</si>
  <si>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</si>
  <si>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</si>
  <si>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</si>
  <si>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</si>
  <si>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</si>
  <si>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</si>
  <si>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</si>
  <si>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</si>
  <si>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</si>
  <si>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</si>
  <si>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</si>
  <si>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</si>
  <si>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</si>
  <si>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</si>
  <si>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</si>
  <si>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</si>
  <si>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</si>
  <si>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</si>
  <si>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</si>
  <si>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</si>
  <si>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</si>
  <si>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</si>
  <si>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</si>
  <si>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</si>
  <si>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</si>
  <si>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</si>
  <si>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</si>
  <si>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</si>
  <si>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</si>
  <si>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</si>
  <si>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</si>
  <si>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</si>
  <si>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</si>
  <si>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</si>
  <si>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</si>
  <si>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</si>
  <si>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</si>
  <si>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</si>
  <si>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</si>
  <si>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</si>
  <si>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</si>
  <si>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</si>
  <si>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</si>
  <si>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</si>
  <si>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</si>
  <si>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</si>
  <si>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</si>
  <si>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</si>
  <si>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</si>
  <si>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</si>
  <si>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</si>
  <si>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</si>
  <si>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</si>
  <si>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</si>
  <si>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</si>
  <si>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</si>
  <si>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</si>
  <si>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</si>
  <si>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</si>
  <si>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</si>
  <si>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</si>
  <si>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</si>
  <si>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</si>
  <si>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</si>
  <si>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</si>
  <si>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</si>
  <si>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</si>
  <si>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</si>
  <si>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</si>
  <si>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</si>
  <si>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</si>
  <si>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</si>
  <si>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</si>
  <si>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</si>
  <si>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</si>
  <si>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</si>
  <si>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</si>
  <si>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</si>
  <si>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</si>
  <si>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</si>
  <si>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</si>
  <si>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</si>
  <si>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</si>
  <si>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</si>
  <si>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</si>
  <si>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</si>
  <si>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</si>
  <si>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</si>
  <si>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</si>
  <si>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</si>
  <si>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</si>
  <si>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</si>
  <si>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</si>
  <si>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</si>
  <si>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</si>
  <si>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</si>
  <si>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</si>
  <si>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</si>
  <si>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</si>
  <si>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</si>
  <si>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</si>
  <si>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</si>
  <si>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</si>
  <si>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</si>
  <si>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</si>
  <si>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</si>
  <si>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</si>
  <si>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</si>
  <si>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</si>
  <si>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</si>
  <si>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</si>
  <si>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</si>
  <si>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</si>
  <si>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</si>
  <si>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</si>
  <si>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</si>
  <si>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</si>
  <si>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</si>
  <si>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</si>
  <si>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</si>
  <si>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</si>
  <si>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</si>
  <si>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</si>
  <si>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</si>
  <si>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</si>
  <si>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</si>
  <si>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</si>
  <si>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</si>
  <si>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</si>
  <si>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</si>
  <si>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</si>
  <si>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</si>
  <si>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</si>
  <si>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</si>
  <si>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</si>
  <si>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</si>
  <si>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</si>
  <si>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</si>
  <si>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</si>
  <si>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</si>
  <si>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</si>
  <si>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</si>
  <si>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</si>
  <si>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</si>
  <si>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</si>
  <si>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</si>
  <si>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</si>
  <si>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</si>
  <si>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</si>
  <si>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</si>
  <si>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</si>
  <si>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</si>
  <si>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</si>
  <si>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</si>
  <si>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</si>
  <si>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</si>
  <si>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</si>
  <si>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</si>
  <si>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</si>
  <si>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</si>
  <si>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</si>
  <si>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</si>
  <si>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</si>
  <si>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</si>
  <si>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</si>
  <si>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</si>
  <si>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</si>
  <si>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</si>
  <si>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</si>
  <si>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</si>
  <si>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</si>
  <si>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</si>
  <si>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</si>
  <si>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</si>
  <si>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</si>
  <si>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</si>
  <si>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</si>
  <si>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</si>
  <si>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</si>
  <si>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</si>
  <si>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</si>
  <si>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</si>
  <si>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</si>
  <si>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</si>
  <si>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</si>
  <si>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</si>
  <si>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</si>
  <si>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</si>
  <si>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</si>
  <si>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</si>
  <si>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</si>
  <si>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</si>
  <si>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</si>
  <si>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</si>
  <si>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</si>
  <si>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</si>
  <si>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</si>
  <si>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</si>
  <si>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</si>
  <si>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</si>
  <si>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</si>
  <si>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</si>
  <si>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</si>
  <si>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</si>
  <si>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</si>
  <si>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</si>
  <si>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</si>
  <si>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</si>
  <si>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</si>
  <si>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</si>
  <si>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</si>
  <si>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</si>
  <si>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</si>
  <si>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</si>
  <si>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</si>
  <si>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</si>
  <si>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</si>
  <si>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</si>
  <si>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</si>
  <si>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</si>
  <si>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</si>
  <si>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</si>
  <si>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</si>
  <si>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</si>
  <si>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</si>
  <si>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</si>
  <si>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</si>
  <si>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</si>
  <si>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</si>
  <si>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</si>
  <si>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</si>
  <si>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</si>
  <si>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</si>
  <si>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</si>
  <si>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</si>
  <si>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</si>
  <si>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</si>
  <si>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</si>
  <si>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</si>
  <si>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</si>
  <si>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</si>
  <si>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</si>
  <si>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</si>
  <si>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</si>
  <si>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</si>
  <si>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</si>
  <si>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</si>
  <si>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</si>
  <si>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</si>
  <si>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</si>
  <si>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</si>
  <si>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</si>
  <si>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</si>
  <si>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</si>
  <si>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</si>
  <si>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</si>
  <si>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</si>
  <si>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</si>
  <si>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</si>
  <si>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</si>
  <si>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</si>
  <si>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</si>
  <si>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</si>
  <si>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</si>
  <si>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</si>
  <si>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</si>
  <si>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</si>
  <si>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</si>
  <si>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</si>
  <si>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</si>
  <si>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</si>
  <si>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</si>
  <si>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</si>
  <si>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</si>
  <si>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</si>
  <si>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</si>
  <si>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</si>
  <si>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</si>
  <si>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</si>
  <si>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</si>
  <si>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</si>
  <si>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</si>
  <si>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</si>
  <si>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</si>
  <si>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</si>
  <si>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</si>
  <si>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</si>
  <si>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</si>
  <si>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</si>
  <si>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</si>
  <si>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</si>
  <si>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</si>
  <si>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</si>
  <si>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</si>
  <si>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</si>
  <si>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</si>
  <si>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</si>
  <si>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</si>
  <si>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</si>
  <si>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</si>
  <si>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</si>
  <si>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</si>
  <si>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</si>
  <si>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</si>
  <si>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</si>
  <si>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</si>
  <si>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</si>
  <si>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</si>
  <si>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</si>
  <si>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</si>
  <si>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</si>
  <si>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</si>
  <si>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</si>
  <si>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</si>
  <si>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</si>
  <si>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</si>
  <si>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</si>
  <si>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</si>
  <si>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</si>
  <si>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</si>
  <si>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</si>
  <si>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</si>
  <si>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</si>
  <si>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</si>
  <si>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</si>
  <si>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</si>
  <si>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</si>
  <si>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</si>
  <si>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</si>
  <si>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</si>
  <si>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</si>
  <si>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</si>
  <si>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</si>
  <si>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</si>
  <si>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</si>
  <si>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</si>
  <si>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</si>
  <si>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</si>
  <si>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</si>
  <si>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</si>
  <si>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</si>
  <si>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</si>
  <si>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</si>
  <si>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</si>
  <si>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</si>
  <si>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</si>
  <si>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</si>
  <si>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</si>
  <si>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</si>
  <si>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</si>
  <si>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</si>
  <si>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</si>
  <si>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</si>
  <si>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</si>
  <si>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</si>
  <si>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</si>
  <si>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</si>
  <si>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</si>
  <si>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</si>
  <si>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</si>
  <si>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</si>
  <si>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</si>
  <si>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</si>
  <si>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</si>
  <si>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</si>
  <si>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</si>
  <si>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</si>
  <si>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</si>
  <si>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</si>
  <si>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</si>
  <si>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</si>
  <si>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</si>
  <si>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</si>
  <si>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</si>
  <si>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</si>
  <si>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</si>
  <si>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</si>
  <si>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</si>
  <si>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</si>
  <si>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</si>
  <si>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</si>
  <si>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</si>
  <si>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</si>
  <si>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</si>
  <si>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</si>
  <si>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</si>
  <si>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</si>
  <si>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</si>
  <si>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</si>
  <si>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</si>
  <si>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</si>
  <si>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</si>
  <si>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</si>
  <si>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</si>
  <si>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</si>
  <si>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</si>
  <si>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</si>
  <si>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</si>
  <si>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</si>
  <si>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</si>
  <si>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</si>
  <si>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</si>
  <si>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</si>
  <si>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</si>
  <si>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</si>
  <si>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</si>
  <si>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</si>
  <si>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</si>
  <si>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</si>
  <si>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</si>
  <si>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</si>
  <si>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</si>
  <si>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</si>
  <si>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</si>
  <si>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</si>
  <si>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</si>
  <si>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</si>
  <si>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</si>
  <si>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</si>
  <si>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</si>
  <si>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</si>
  <si>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</si>
  <si>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</si>
  <si>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</si>
  <si>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</si>
  <si>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</si>
  <si>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</si>
  <si>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</si>
  <si>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</si>
  <si>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</si>
  <si>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</si>
  <si>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</si>
  <si>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</si>
  <si>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</si>
  <si>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</si>
  <si>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</si>
  <si>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</si>
  <si>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</si>
  <si>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</si>
  <si>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</si>
  <si>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</si>
  <si>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</si>
  <si>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</si>
  <si>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</si>
  <si>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</si>
  <si>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</si>
  <si>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</si>
  <si>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</si>
  <si>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</si>
  <si>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</si>
  <si>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</si>
  <si>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</si>
  <si>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</si>
  <si>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</si>
  <si>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</si>
  <si>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</si>
  <si>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</si>
  <si>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</si>
  <si>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</si>
  <si>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</si>
  <si>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</si>
  <si>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</si>
  <si>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</si>
  <si>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</si>
  <si>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</si>
  <si>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</si>
  <si>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</si>
  <si>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</si>
  <si>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</si>
  <si>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</si>
  <si>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</si>
  <si>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</si>
  <si>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</si>
  <si>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</si>
  <si>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</si>
  <si>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</si>
  <si>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</si>
  <si>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</si>
  <si>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</si>
  <si>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</si>
  <si>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</si>
  <si>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</si>
  <si>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</si>
  <si>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</si>
  <si>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</si>
  <si>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</si>
  <si>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</si>
  <si>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</si>
  <si>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</si>
  <si>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</si>
  <si>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</si>
  <si>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</si>
  <si>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</si>
  <si>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</si>
  <si>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</si>
  <si>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</si>
  <si>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</si>
  <si>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</si>
  <si>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</si>
  <si>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</si>
  <si>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</si>
  <si>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</si>
  <si>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</si>
  <si>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</si>
  <si>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</si>
  <si>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</si>
  <si>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</si>
  <si>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</si>
  <si>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</si>
  <si>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</si>
  <si>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</si>
  <si>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</si>
  <si>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</si>
  <si>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</si>
  <si>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</si>
  <si>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</si>
  <si>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</si>
  <si>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</si>
  <si>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</si>
  <si>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</si>
  <si>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</si>
  <si>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</si>
  <si>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</si>
  <si>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</si>
  <si>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</si>
  <si>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</si>
  <si>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</si>
  <si>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</si>
  <si>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</si>
  <si>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</si>
  <si>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</si>
  <si>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</si>
  <si>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</si>
  <si>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</si>
  <si>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</si>
  <si>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</si>
  <si>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</si>
  <si>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</si>
  <si>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</si>
  <si>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</si>
  <si>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</si>
  <si>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</si>
  <si>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</si>
  <si>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</si>
  <si>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</si>
  <si>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</si>
  <si>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</si>
  <si>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</si>
  <si>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</si>
  <si>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</si>
  <si>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</si>
  <si>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</si>
  <si>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</si>
  <si>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</si>
  <si>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</si>
  <si>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</si>
  <si>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</si>
  <si>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</si>
  <si>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</si>
  <si>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</si>
  <si>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</si>
  <si>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</si>
  <si>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</si>
  <si>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</si>
  <si>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</si>
  <si>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</si>
  <si>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</si>
  <si>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</si>
  <si>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</si>
  <si>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</si>
  <si>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</si>
  <si>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</si>
  <si>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</si>
  <si>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</si>
  <si>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</si>
  <si>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</si>
  <si>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</si>
  <si>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</si>
  <si>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</si>
  <si>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</si>
  <si>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</si>
  <si>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</si>
  <si>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</si>
  <si>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</si>
  <si>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</si>
  <si>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</si>
  <si>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</si>
  <si>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</si>
  <si>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</si>
  <si>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</si>
  <si>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</si>
  <si>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</si>
  <si>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</si>
  <si>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</si>
  <si>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</si>
  <si>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</si>
  <si>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</si>
  <si>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</si>
  <si>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</si>
  <si>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</si>
  <si>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</si>
  <si>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</si>
  <si>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</si>
  <si>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</si>
  <si>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</si>
  <si>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</si>
  <si>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</si>
  <si>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</si>
  <si>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</si>
  <si>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</si>
  <si>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</si>
  <si>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</si>
  <si>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</si>
  <si>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</si>
  <si>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</si>
  <si>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</si>
  <si>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</si>
  <si>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</si>
  <si>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</si>
  <si>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</si>
  <si>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</si>
  <si>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</si>
  <si>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</si>
  <si>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</si>
  <si>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</si>
  <si>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</si>
  <si>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</si>
  <si>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</si>
  <si>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</si>
  <si>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</si>
  <si>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</si>
  <si>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</si>
  <si>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</si>
  <si>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</si>
  <si>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</si>
  <si>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</si>
  <si>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</si>
  <si>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</si>
  <si>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</si>
  <si>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</si>
  <si>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</si>
  <si>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</si>
  <si>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</si>
  <si>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</si>
  <si>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</si>
  <si>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</si>
  <si>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</si>
  <si>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</si>
  <si>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</si>
  <si>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</si>
  <si>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</si>
  <si>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</si>
  <si>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</si>
  <si>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</si>
  <si>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</si>
  <si>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</si>
  <si>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</si>
  <si>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</si>
  <si>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</si>
  <si>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</si>
  <si>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</si>
  <si>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</si>
  <si>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</si>
  <si>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</si>
  <si>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</si>
  <si>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</si>
  <si>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</si>
  <si>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</si>
  <si>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</si>
  <si>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</si>
  <si>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</si>
  <si>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</si>
  <si>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</si>
  <si>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</si>
  <si>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</si>
  <si>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</si>
  <si>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</si>
  <si>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</si>
  <si>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</si>
  <si>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</si>
  <si>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</si>
  <si>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</si>
  <si>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</si>
  <si>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</si>
  <si>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</si>
  <si>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</si>
  <si>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</si>
  <si>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</si>
  <si>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</si>
  <si>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</si>
  <si>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</si>
  <si>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</si>
  <si>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</si>
  <si>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</si>
  <si>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</si>
  <si>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</si>
  <si>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</si>
  <si>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</si>
  <si>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</si>
  <si>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</si>
  <si>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</si>
  <si>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</si>
  <si>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</si>
  <si>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</si>
  <si>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</si>
  <si>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</si>
  <si>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</si>
  <si>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</si>
  <si>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</si>
  <si>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</si>
  <si>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</si>
  <si>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</si>
  <si>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</si>
  <si>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</si>
  <si>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</si>
  <si>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</si>
  <si>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</si>
  <si>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</si>
  <si>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</si>
  <si>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</si>
  <si>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</si>
  <si>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</si>
  <si>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</si>
  <si>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</si>
  <si>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お急ぎ</t>
    <rPh sb="1" eb="2">
      <t>イソ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</si>
  <si>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</si>
  <si>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</si>
  <si>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</si>
  <si>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</si>
  <si>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</si>
  <si>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</si>
  <si>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</si>
  <si>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</si>
  <si>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</si>
  <si>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</si>
  <si>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</si>
  <si>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</si>
  <si>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</si>
  <si>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</si>
  <si>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</si>
  <si>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重ね</t>
    <rPh sb="0" eb="1">
      <t>カサ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</si>
  <si>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</si>
  <si>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</si>
  <si>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</si>
  <si>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</si>
  <si>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</si>
  <si>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集めた</t>
    <rPh sb="0" eb="1">
      <t>アツ</t>
    </rPh>
    <phoneticPr fontId="1"/>
  </si>
  <si>
    <t>再へん</t>
    <rPh sb="0" eb="1">
      <t>サイ</t>
    </rPh>
    <phoneticPr fontId="1"/>
  </si>
  <si>
    <t>対おう</t>
    <rPh sb="0" eb="1">
      <t>タイ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</si>
  <si>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</si>
  <si>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</si>
  <si>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</si>
  <si>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りずむと音</t>
    <rPh sb="4" eb="5">
      <t>オト</t>
    </rPh>
    <phoneticPr fontId="1"/>
  </si>
  <si>
    <t>はば広い</t>
    <rPh sb="2" eb="3">
      <t>ヒロ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</si>
  <si>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</si>
  <si>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</si>
  <si>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</si>
  <si>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影捌けの舞</t>
    <rPh sb="0" eb="1">
      <t>カゲ</t>
    </rPh>
    <rPh sb="4" eb="5">
      <t>マイ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</si>
  <si>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</si>
  <si>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</si>
  <si>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腹が満たされた</t>
    <rPh sb="0" eb="1">
      <t>ハラ</t>
    </rPh>
    <rPh sb="2" eb="3">
      <t>ミ</t>
    </rPh>
    <phoneticPr fontId="1"/>
  </si>
  <si>
    <t>満たされた合ず</t>
    <rPh sb="0" eb="1">
      <t>ミ</t>
    </rPh>
    <rPh sb="5" eb="6">
      <t>ア</t>
    </rPh>
    <phoneticPr fontId="1"/>
  </si>
  <si>
    <t>過♢</t>
    <rPh sb="0" eb="1">
      <t>カ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</si>
  <si>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</si>
  <si>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</si>
  <si>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</si>
  <si>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</si>
  <si>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</si>
  <si>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</si>
  <si>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</si>
  <si>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</si>
  <si>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</si>
  <si>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</si>
  <si>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</si>
  <si>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</si>
  <si>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</si>
  <si>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</si>
  <si>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</si>
  <si>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</si>
  <si>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</si>
  <si>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</si>
  <si>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</si>
  <si>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</si>
  <si>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</si>
  <si>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</si>
  <si>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</si>
  <si>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</si>
  <si>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</si>
  <si>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</si>
  <si>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</si>
  <si>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</si>
  <si>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</si>
  <si>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</si>
  <si>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</si>
  <si>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</si>
  <si>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</si>
  <si>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</si>
  <si>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</si>
  <si>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</si>
  <si>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</si>
  <si>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</si>
  <si>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</si>
  <si>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</si>
  <si>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</si>
  <si>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</si>
  <si>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</si>
  <si>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</si>
  <si>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</si>
  <si>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</si>
  <si>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</si>
  <si>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</si>
  <si>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</si>
  <si>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</si>
  <si>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</si>
  <si>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</si>
  <si>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</si>
  <si>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</si>
  <si>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</si>
  <si>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</si>
  <si>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</si>
  <si>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水覗像/王？</t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</si>
  <si>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</si>
  <si>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</si>
  <si>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</si>
  <si>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</si>
  <si>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</si>
  <si>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</si>
  <si>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</si>
  <si>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</si>
  <si>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</si>
  <si>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</si>
  <si>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</si>
  <si>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</si>
  <si>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お知らせ</t>
    <rPh sb="1" eb="2">
      <t>シ</t>
    </rPh>
    <phoneticPr fontId="1"/>
  </si>
  <si>
    <t>兆し？</t>
    <rPh sb="0" eb="1">
      <t>キザ</t>
    </rPh>
    <phoneticPr fontId="1"/>
  </si>
  <si>
    <t>影捌け？</t>
    <rPh sb="0" eb="1">
      <t>カゲ</t>
    </rPh>
    <rPh sb="1" eb="2">
      <t>ハ</t>
    </rPh>
    <phoneticPr fontId="1"/>
  </si>
  <si>
    <t>丣個僇亵乐卜丸亡</t>
    <phoneticPr fontId="1"/>
  </si>
  <si>
    <t>噴水？</t>
    <rPh sb="0" eb="2">
      <t>フンスイ</t>
    </rPh>
    <phoneticPr fontId="1"/>
  </si>
  <si>
    <t>つぐない</t>
    <phoneticPr fontId="1"/>
  </si>
  <si>
    <t>交流？</t>
    <rPh sb="0" eb="2">
      <t>コウリュウ</t>
    </rPh>
    <phoneticPr fontId="1"/>
  </si>
  <si>
    <t>常明像</t>
    <rPh sb="0" eb="1">
      <t>ツネ</t>
    </rPh>
    <rPh sb="1" eb="2">
      <t>アキラ</t>
    </rPh>
    <rPh sb="2" eb="3">
      <t>ゾウ</t>
    </rPh>
    <phoneticPr fontId="1"/>
  </si>
  <si>
    <t>特別？</t>
    <rPh sb="0" eb="2">
      <t>トクベツ</t>
    </rPh>
    <phoneticPr fontId="1"/>
  </si>
  <si>
    <t>准凇</t>
  </si>
  <si>
    <t>隔離？</t>
    <rPh sb="0" eb="2">
      <t>カクリ</t>
    </rPh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</si>
  <si>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</si>
  <si>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</si>
  <si>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</si>
  <si>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</si>
  <si>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</si>
  <si>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</si>
  <si>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間</t>
    <rPh sb="0" eb="1">
      <t>アイダ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</si>
  <si>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</si>
  <si>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</si>
  <si>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</si>
  <si>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</si>
  <si>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</si>
  <si>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</si>
  <si>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</si>
  <si>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</si>
  <si>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</si>
  <si>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</si>
  <si>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</si>
  <si>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</si>
  <si>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</si>
  <si>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</si>
  <si>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</si>
  <si>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</si>
  <si>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</si>
  <si>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</si>
  <si>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</si>
  <si>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</si>
  <si>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</si>
  <si>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</si>
  <si>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</si>
  <si>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</si>
  <si>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</si>
  <si>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</si>
  <si>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</si>
  <si>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</si>
  <si>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</si>
  <si>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</si>
  <si>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</si>
  <si>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</si>
  <si>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</si>
  <si>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</si>
  <si>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</si>
  <si>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</si>
  <si>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</si>
  <si>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</si>
  <si>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</si>
  <si>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</si>
  <si>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</si>
  <si>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</si>
  <si>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</si>
  <si>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</si>
  <si>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</si>
  <si>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</si>
  <si>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</si>
  <si>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URL</t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</si>
  <si>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</si>
  <si>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</si>
  <si>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</si>
  <si>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</si>
  <si>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</si>
  <si>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</si>
  <si>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</si>
  <si>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</si>
  <si>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</si>
  <si>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</si>
  <si>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</si>
  <si>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</si>
  <si>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</si>
  <si>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</si>
  <si>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</si>
  <si>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</si>
  <si>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</si>
  <si>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</si>
  <si>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</si>
  <si>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後</t>
    <rPh sb="0" eb="1">
      <t>ウシ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</si>
  <si>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</si>
  <si>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</si>
  <si>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</si>
  <si>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</si>
  <si>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</si>
  <si>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</si>
  <si>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</si>
  <si>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</si>
  <si>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</si>
  <si>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</si>
  <si>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</si>
  <si>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</si>
  <si>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</si>
  <si>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</si>
  <si>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</si>
  <si>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</si>
  <si>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</si>
  <si>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</si>
  <si>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</si>
  <si>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</si>
  <si>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</si>
  <si>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</si>
  <si>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</si>
  <si>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</si>
  <si>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</si>
  <si>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</si>
  <si>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</si>
  <si>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</si>
  <si>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</si>
  <si>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</si>
  <si>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</si>
  <si>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</si>
  <si>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</si>
  <si>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</si>
  <si>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</si>
  <si>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</si>
  <si>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</si>
  <si>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</si>
  <si>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</si>
  <si>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</si>
  <si>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</si>
  <si>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</si>
  <si>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</si>
  <si>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</si>
  <si>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</si>
  <si>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</si>
  <si>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</si>
  <si>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</si>
  <si>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</si>
  <si>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</si>
  <si>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</si>
  <si>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</si>
  <si>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</si>
  <si>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</si>
  <si>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</si>
  <si>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</si>
  <si>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</si>
  <si>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</si>
  <si>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</si>
  <si>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</si>
  <si>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</si>
  <si>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</si>
  <si>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</si>
  <si>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</si>
  <si>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</si>
  <si>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</si>
  <si>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</si>
  <si>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</si>
  <si>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</si>
  <si>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</si>
  <si>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</si>
  <si>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</si>
  <si>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</si>
  <si>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</si>
  <si>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</si>
  <si>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</si>
  <si>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</si>
  <si>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</si>
  <si>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</si>
  <si>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</si>
  <si>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</si>
  <si>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</si>
  <si>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</si>
  <si>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</si>
  <si>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</si>
  <si>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</si>
  <si>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</si>
  <si>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</si>
  <si>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</si>
  <si>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</si>
  <si>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</si>
  <si>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</si>
  <si>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</si>
  <si>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</si>
  <si>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</si>
  <si>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</si>
  <si>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</si>
  <si>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</si>
  <si>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</si>
  <si>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</si>
  <si>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</si>
  <si>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</si>
  <si>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</si>
  <si>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</si>
  <si>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</si>
  <si>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</si>
  <si>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</si>
  <si>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</si>
  <si>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</si>
  <si>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</si>
  <si>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</si>
  <si>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</si>
  <si>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</si>
  <si>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</si>
  <si>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</si>
  <si>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</si>
  <si>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</si>
  <si>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</si>
  <si>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</si>
  <si>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</si>
  <si>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</si>
  <si>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</si>
  <si>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</si>
  <si>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</si>
  <si>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</si>
  <si>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</si>
  <si>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</si>
  <si>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</si>
  <si>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</si>
  <si>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</si>
  <si>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</si>
  <si>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</si>
  <si>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</si>
  <si>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</si>
  <si>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</si>
  <si>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</si>
  <si>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</si>
  <si>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</si>
  <si>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</si>
  <si>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</si>
  <si>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</si>
  <si>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</si>
  <si>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</si>
  <si>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</si>
  <si>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</si>
  <si>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</si>
  <si>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</si>
  <si>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</si>
  <si>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</si>
  <si>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</si>
  <si>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</si>
  <si>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</si>
  <si>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</si>
  <si>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</si>
  <si>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</si>
  <si>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</si>
  <si>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</si>
  <si>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</si>
  <si>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</si>
  <si>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</si>
  <si>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</si>
  <si>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</si>
  <si>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</si>
  <si>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</si>
  <si>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</si>
  <si>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</si>
  <si>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</si>
  <si>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</si>
  <si>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</si>
  <si>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</si>
  <si>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</si>
  <si>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</si>
  <si>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</si>
  <si>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</si>
  <si>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</si>
  <si>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</si>
  <si>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</si>
  <si>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</si>
  <si>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</si>
  <si>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</si>
  <si>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</si>
  <si>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</si>
  <si>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</si>
  <si>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</si>
  <si>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</si>
  <si>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</si>
  <si>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</si>
  <si>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</si>
  <si>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</si>
  <si>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</si>
  <si>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</si>
  <si>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</si>
  <si>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</si>
  <si>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</si>
  <si>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</si>
  <si>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</si>
  <si>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</si>
  <si>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</si>
  <si>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</si>
  <si>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</si>
  <si>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</si>
  <si>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</si>
  <si>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</si>
  <si>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</si>
  <si>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</si>
  <si>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</si>
  <si>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</si>
  <si>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</si>
  <si>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</si>
  <si>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</si>
  <si>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</si>
  <si>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</si>
  <si>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</si>
  <si>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</si>
  <si>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</si>
  <si>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</si>
  <si>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</si>
  <si>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</si>
  <si>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</si>
  <si>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</si>
  <si>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</si>
  <si>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</si>
  <si>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</si>
  <si>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</si>
  <si>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</si>
  <si>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</si>
  <si>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</si>
  <si>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</si>
  <si>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</si>
  <si>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</si>
  <si>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</si>
  <si>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</si>
  <si>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</si>
  <si>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</si>
  <si>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</si>
  <si>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</si>
  <si>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</si>
  <si>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</si>
  <si>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</si>
  <si>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</si>
  <si>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</si>
  <si>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</si>
  <si>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</si>
  <si>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</si>
  <si>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</si>
  <si>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</si>
  <si>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</si>
  <si>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</si>
  <si>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</si>
  <si>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</si>
  <si>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</si>
  <si>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</si>
  <si>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</si>
  <si>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</si>
  <si>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</si>
  <si>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</si>
  <si>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</si>
  <si>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</si>
  <si>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</si>
  <si>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</si>
  <si>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</si>
  <si>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</si>
  <si>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</si>
  <si>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</si>
  <si>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</si>
  <si>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</si>
  <si>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</si>
  <si>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</si>
  <si>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</si>
  <si>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</si>
  <si>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</si>
  <si>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</si>
  <si>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</si>
  <si>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</si>
  <si>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</si>
  <si>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</si>
  <si>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</si>
  <si>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</si>
  <si>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</si>
  <si>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</si>
  <si>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</si>
  <si>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</si>
  <si>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</si>
  <si>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</si>
  <si>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</si>
  <si>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</si>
  <si>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</si>
  <si>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</si>
  <si>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</si>
  <si>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介??</t>
    <phoneticPr fontId="1"/>
  </si>
  <si>
    <t>傎??</t>
    <phoneticPr fontId="1"/>
  </si>
  <si>
    <t>俚??</t>
    <phoneticPr fontId="1"/>
  </si>
  <si>
    <t>勀??</t>
    <phoneticPr fontId="1"/>
  </si>
  <si>
    <t>倂??</t>
    <phoneticPr fontId="1"/>
  </si>
  <si>
    <t>凘??</t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</si>
  <si>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?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</si>
</sst>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0" xfId="0" applyFont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6" Type="http://schemas.openxmlformats.org/officeDocument/2006/relationships/hyperlink" Target="https://www.qtes9gu0k.xyz/qgur/ab8el8q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54" Type="http://schemas.openxmlformats.org/officeDocument/2006/relationships/hyperlink" Target="https://www.qtes9gu0k.xyz/b37l821/" TargetMode="External"/><Relationship Id="rId62" Type="http://schemas.openxmlformats.org/officeDocument/2006/relationships/hyperlink" Target="https://www.qtes9gu0k.xyz/efm5n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15" Type="http://schemas.openxmlformats.org/officeDocument/2006/relationships/hyperlink" Target="https://www.qtes9gu0k.xyz/qgur/hmfe73a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36" Type="http://schemas.openxmlformats.org/officeDocument/2006/relationships/hyperlink" Target="https://www.qtes9gu0k.xyz/efm5n/e2m0bhl/" TargetMode="External"/><Relationship Id="rId49" Type="http://schemas.openxmlformats.org/officeDocument/2006/relationships/hyperlink" Target="https://www.qtes9gu0k.xyz/hu9p8w3/" TargetMode="External"/><Relationship Id="rId57" Type="http://schemas.openxmlformats.org/officeDocument/2006/relationships/hyperlink" Target="https://www.qtes9gu0k.xyz/qgur/k5fxams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44" Type="http://schemas.openxmlformats.org/officeDocument/2006/relationships/hyperlink" Target="https://www.qtes9gu0k.xyz/ycqs/ybsdaff/" TargetMode="External"/><Relationship Id="rId52" Type="http://schemas.openxmlformats.org/officeDocument/2006/relationships/hyperlink" Target="https://www.qtes9gu0k.xyz/b37l821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printerSettings" Target="../printerSettings/printerSettings1.bin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zm389qx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47" Type="http://schemas.openxmlformats.org/officeDocument/2006/relationships/hyperlink" Target="https://www.qtes9gu0k.xyz/qgur/84zfyts/" TargetMode="External"/><Relationship Id="rId63" Type="http://schemas.openxmlformats.org/officeDocument/2006/relationships/hyperlink" Target="https://www.qtes9gu0k.xyz/qgur/bnepew4/" TargetMode="External"/><Relationship Id="rId68" Type="http://schemas.openxmlformats.org/officeDocument/2006/relationships/hyperlink" Target="https://www.qtes9gu0k.xyz/qgur/3682ned/" TargetMode="External"/><Relationship Id="rId84" Type="http://schemas.openxmlformats.org/officeDocument/2006/relationships/hyperlink" Target="https://www.qtes9gu0k.xyz/qgur/ab8el8q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6" Type="http://schemas.openxmlformats.org/officeDocument/2006/relationships/hyperlink" Target="https://www.qtes9gu0k.xyz/ycqs/byuialdf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37" Type="http://schemas.openxmlformats.org/officeDocument/2006/relationships/hyperlink" Target="https://www.qtes9gu0k.xyz/qgur/8492tqha/" TargetMode="External"/><Relationship Id="rId53" Type="http://schemas.openxmlformats.org/officeDocument/2006/relationships/hyperlink" Target="https://www.qtes9gu0k.xyz/qgur/ei282yf/" TargetMode="External"/><Relationship Id="rId58" Type="http://schemas.openxmlformats.org/officeDocument/2006/relationships/hyperlink" Target="https://www.qtes9gu0k.xyz/qgur/eea4ijd/" TargetMode="External"/><Relationship Id="rId74" Type="http://schemas.openxmlformats.org/officeDocument/2006/relationships/hyperlink" Target="https://www.qtes9gu0k.xyz/qgur/63jwb7p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28" Type="http://schemas.openxmlformats.org/officeDocument/2006/relationships/hyperlink" Target="https://www.qtes9gu0k.xyz/hu9p8w3/" TargetMode="External"/><Relationship Id="rId5" Type="http://schemas.openxmlformats.org/officeDocument/2006/relationships/hyperlink" Target="https://www.qtes9gu0k.xyz/ycqs/byiudsfyu/" TargetMode="External"/><Relationship Id="rId90" Type="http://schemas.openxmlformats.org/officeDocument/2006/relationships/hyperlink" Target="https://www.qtes9gu0k.xyz/qgur/untuuue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zm389qx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p8we8a23/" TargetMode="External"/><Relationship Id="rId129" Type="http://schemas.openxmlformats.org/officeDocument/2006/relationships/hyperlink" Target="https://www.qtes9gu0k.xyz/hu9p8w3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9b87wr79243/" TargetMode="External"/><Relationship Id="rId119" Type="http://schemas.openxmlformats.org/officeDocument/2006/relationships/hyperlink" Target="https://www.qtes9gu0k.xyz/67eltuwb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hu9p8w3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67eltuwb/" TargetMode="External"/><Relationship Id="rId125" Type="http://schemas.openxmlformats.org/officeDocument/2006/relationships/hyperlink" Target="https://www.qtes9gu0k.xyz/p8we8a23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9b87wr79243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gh73u44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b8ivea423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b37l821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gh73u44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b8ivea42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1"/>
  <sheetViews>
    <sheetView tabSelected="1" zoomScale="115" zoomScaleNormal="115" workbookViewId="0">
      <pane xSplit="3" ySplit="1" topLeftCell="D310" activePane="bottomRight" state="frozen"/>
      <selection pane="topRight" activeCell="D1" sqref="D1"/>
      <selection pane="bottomLeft" activeCell="A2" sqref="A2"/>
      <selection pane="bottomRight" activeCell="C330" sqref="C330"/>
    </sheetView>
  </sheetViews>
  <sheetFormatPr defaultRowHeight="18.75" x14ac:dyDescent="0.4"/>
  <cols>
    <col min="2" max="2" width="9" style="1"/>
    <col min="4" max="4" width="26.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x14ac:dyDescent="0.4">
      <c r="A1" t="s">
        <v>1901</v>
      </c>
      <c r="B1" s="1" t="s">
        <v>1562</v>
      </c>
      <c r="C1" t="s">
        <v>1563</v>
      </c>
      <c r="D1" s="33" t="s">
        <v>2067</v>
      </c>
      <c r="E1" s="33" t="s">
        <v>2052</v>
      </c>
      <c r="F1" s="31" t="s">
        <v>2053</v>
      </c>
      <c r="G1" s="31" t="s">
        <v>2054</v>
      </c>
      <c r="H1" s="31" t="s">
        <v>2055</v>
      </c>
      <c r="I1" s="31" t="s">
        <v>2056</v>
      </c>
      <c r="J1" s="31" t="s">
        <v>2057</v>
      </c>
    </row>
    <row r="2" spans="1:10" x14ac:dyDescent="0.4">
      <c r="B2" s="1" t="s">
        <v>1496</v>
      </c>
      <c r="C2">
        <v>0</v>
      </c>
    </row>
    <row r="3" spans="1:10" x14ac:dyDescent="0.4">
      <c r="B3" s="1" t="s">
        <v>1497</v>
      </c>
      <c r="C3">
        <v>1</v>
      </c>
    </row>
    <row r="4" spans="1:10" x14ac:dyDescent="0.4">
      <c r="B4" s="1" t="s">
        <v>1498</v>
      </c>
      <c r="C4">
        <v>2</v>
      </c>
    </row>
    <row r="5" spans="1:10" x14ac:dyDescent="0.4">
      <c r="B5" s="1" t="s">
        <v>1499</v>
      </c>
      <c r="C5">
        <v>3</v>
      </c>
    </row>
    <row r="6" spans="1:10" x14ac:dyDescent="0.4">
      <c r="B6" s="1" t="s">
        <v>1500</v>
      </c>
      <c r="C6">
        <v>4</v>
      </c>
    </row>
    <row r="7" spans="1:10" x14ac:dyDescent="0.4">
      <c r="B7" s="1" t="s">
        <v>1501</v>
      </c>
      <c r="C7">
        <v>5</v>
      </c>
    </row>
    <row r="8" spans="1:10" x14ac:dyDescent="0.4">
      <c r="B8" s="1" t="s">
        <v>1502</v>
      </c>
      <c r="C8">
        <v>6</v>
      </c>
    </row>
    <row r="9" spans="1:10" x14ac:dyDescent="0.4">
      <c r="B9" s="1" t="s">
        <v>1503</v>
      </c>
      <c r="C9">
        <v>7</v>
      </c>
    </row>
    <row r="10" spans="1:10" x14ac:dyDescent="0.4">
      <c r="B10" s="1" t="s">
        <v>1504</v>
      </c>
      <c r="C10">
        <v>8</v>
      </c>
    </row>
    <row r="11" spans="1:10" x14ac:dyDescent="0.4">
      <c r="B11" s="1" t="s">
        <v>1505</v>
      </c>
      <c r="C11">
        <v>9</v>
      </c>
    </row>
    <row r="12" spans="1:10" x14ac:dyDescent="0.4">
      <c r="B12" s="1" t="s">
        <v>1506</v>
      </c>
      <c r="C12">
        <v>10</v>
      </c>
    </row>
    <row r="13" spans="1:10" x14ac:dyDescent="0.4">
      <c r="B13" s="1" t="s">
        <v>1507</v>
      </c>
      <c r="C13">
        <v>11</v>
      </c>
    </row>
    <row r="14" spans="1:10" x14ac:dyDescent="0.4">
      <c r="B14" s="1" t="s">
        <v>1508</v>
      </c>
      <c r="C14">
        <v>12</v>
      </c>
    </row>
    <row r="15" spans="1:10" x14ac:dyDescent="0.4">
      <c r="B15" s="1" t="s">
        <v>1509</v>
      </c>
      <c r="C15">
        <v>13</v>
      </c>
    </row>
    <row r="16" spans="1:10" x14ac:dyDescent="0.4">
      <c r="B16" s="1" t="s">
        <v>1510</v>
      </c>
      <c r="C16">
        <v>14</v>
      </c>
    </row>
    <row r="17" spans="2:3" x14ac:dyDescent="0.4">
      <c r="B17" s="1" t="s">
        <v>1511</v>
      </c>
      <c r="C17">
        <v>15</v>
      </c>
    </row>
    <row r="18" spans="2:3" x14ac:dyDescent="0.4">
      <c r="B18" s="1" t="s">
        <v>1512</v>
      </c>
      <c r="C18">
        <v>16</v>
      </c>
    </row>
    <row r="19" spans="2:3" x14ac:dyDescent="0.4">
      <c r="B19" s="1" t="s">
        <v>1513</v>
      </c>
      <c r="C19">
        <v>17</v>
      </c>
    </row>
    <row r="20" spans="2:3" x14ac:dyDescent="0.4">
      <c r="B20" s="1" t="s">
        <v>1514</v>
      </c>
      <c r="C20">
        <v>18</v>
      </c>
    </row>
    <row r="21" spans="2:3" x14ac:dyDescent="0.4">
      <c r="B21" s="1" t="s">
        <v>1515</v>
      </c>
      <c r="C21">
        <v>19</v>
      </c>
    </row>
    <row r="22" spans="2:3" x14ac:dyDescent="0.4">
      <c r="B22" s="1" t="s">
        <v>1516</v>
      </c>
      <c r="C22">
        <v>20</v>
      </c>
    </row>
    <row r="23" spans="2:3" x14ac:dyDescent="0.4">
      <c r="B23" s="1" t="s">
        <v>1517</v>
      </c>
      <c r="C23">
        <v>21</v>
      </c>
    </row>
    <row r="24" spans="2:3" x14ac:dyDescent="0.4">
      <c r="B24" s="1" t="s">
        <v>1518</v>
      </c>
      <c r="C24">
        <v>22</v>
      </c>
    </row>
    <row r="25" spans="2:3" x14ac:dyDescent="0.4">
      <c r="B25" s="1" t="s">
        <v>1519</v>
      </c>
      <c r="C25">
        <v>23</v>
      </c>
    </row>
    <row r="26" spans="2:3" x14ac:dyDescent="0.4">
      <c r="B26" s="1" t="s">
        <v>1520</v>
      </c>
      <c r="C26">
        <v>24</v>
      </c>
    </row>
    <row r="27" spans="2:3" x14ac:dyDescent="0.4">
      <c r="B27" s="1" t="s">
        <v>1521</v>
      </c>
      <c r="C27">
        <v>25</v>
      </c>
    </row>
    <row r="28" spans="2:3" x14ac:dyDescent="0.4">
      <c r="B28" s="1" t="s">
        <v>1522</v>
      </c>
      <c r="C28">
        <v>26</v>
      </c>
    </row>
    <row r="29" spans="2:3" x14ac:dyDescent="0.4">
      <c r="B29" s="1" t="s">
        <v>1523</v>
      </c>
      <c r="C29">
        <v>27</v>
      </c>
    </row>
    <row r="30" spans="2:3" x14ac:dyDescent="0.4">
      <c r="B30" s="1" t="s">
        <v>1524</v>
      </c>
      <c r="C30">
        <v>28</v>
      </c>
    </row>
    <row r="31" spans="2:3" x14ac:dyDescent="0.4">
      <c r="B31" s="1" t="s">
        <v>1893</v>
      </c>
      <c r="C31">
        <v>29</v>
      </c>
    </row>
    <row r="32" spans="2:3" x14ac:dyDescent="0.4">
      <c r="B32" s="1" t="s">
        <v>1525</v>
      </c>
      <c r="C32">
        <v>30</v>
      </c>
    </row>
    <row r="33" spans="2:3" x14ac:dyDescent="0.4">
      <c r="B33" s="1" t="s">
        <v>1526</v>
      </c>
      <c r="C33">
        <v>31</v>
      </c>
    </row>
    <row r="34" spans="2:3" x14ac:dyDescent="0.4">
      <c r="B34" s="1" t="s">
        <v>1527</v>
      </c>
      <c r="C34">
        <v>32</v>
      </c>
    </row>
    <row r="35" spans="2:3" x14ac:dyDescent="0.4">
      <c r="B35" s="1" t="s">
        <v>1528</v>
      </c>
      <c r="C35">
        <v>33</v>
      </c>
    </row>
    <row r="36" spans="2:3" x14ac:dyDescent="0.4">
      <c r="B36" s="1" t="s">
        <v>1529</v>
      </c>
      <c r="C36">
        <v>34</v>
      </c>
    </row>
    <row r="37" spans="2:3" x14ac:dyDescent="0.4">
      <c r="B37" s="1" t="s">
        <v>1530</v>
      </c>
      <c r="C37">
        <v>35</v>
      </c>
    </row>
    <row r="38" spans="2:3" x14ac:dyDescent="0.4">
      <c r="B38" s="1" t="s">
        <v>1531</v>
      </c>
      <c r="C38">
        <v>36</v>
      </c>
    </row>
    <row r="39" spans="2:3" x14ac:dyDescent="0.4">
      <c r="B39" s="1" t="s">
        <v>1532</v>
      </c>
      <c r="C39">
        <v>37</v>
      </c>
    </row>
    <row r="40" spans="2:3" x14ac:dyDescent="0.4">
      <c r="B40" s="1" t="s">
        <v>1533</v>
      </c>
      <c r="C40">
        <v>38</v>
      </c>
    </row>
    <row r="41" spans="2:3" x14ac:dyDescent="0.4">
      <c r="B41" s="1" t="s">
        <v>1534</v>
      </c>
      <c r="C41">
        <v>39</v>
      </c>
    </row>
    <row r="42" spans="2:3" x14ac:dyDescent="0.4">
      <c r="B42" s="1" t="s">
        <v>1535</v>
      </c>
      <c r="C42">
        <v>40</v>
      </c>
    </row>
    <row r="43" spans="2:3" x14ac:dyDescent="0.4">
      <c r="B43" s="1" t="s">
        <v>1536</v>
      </c>
      <c r="C43">
        <v>41</v>
      </c>
    </row>
    <row r="44" spans="2:3" x14ac:dyDescent="0.4">
      <c r="B44" s="1" t="s">
        <v>1537</v>
      </c>
      <c r="C44">
        <v>42</v>
      </c>
    </row>
    <row r="45" spans="2:3" x14ac:dyDescent="0.4">
      <c r="B45" s="1" t="s">
        <v>1894</v>
      </c>
      <c r="C45">
        <v>43</v>
      </c>
    </row>
    <row r="46" spans="2:3" x14ac:dyDescent="0.4">
      <c r="B46" s="1" t="s">
        <v>1538</v>
      </c>
      <c r="C46">
        <v>44</v>
      </c>
    </row>
    <row r="47" spans="2:3" x14ac:dyDescent="0.4">
      <c r="B47" s="1" t="s">
        <v>1539</v>
      </c>
      <c r="C47">
        <v>45</v>
      </c>
    </row>
    <row r="48" spans="2:3" x14ac:dyDescent="0.4">
      <c r="B48" s="1" t="s">
        <v>1540</v>
      </c>
      <c r="C48">
        <v>46</v>
      </c>
    </row>
    <row r="49" spans="2:3" x14ac:dyDescent="0.4">
      <c r="B49" s="1" t="s">
        <v>1541</v>
      </c>
      <c r="C49">
        <v>47</v>
      </c>
    </row>
    <row r="50" spans="2:3" x14ac:dyDescent="0.4">
      <c r="B50" s="1" t="s">
        <v>1542</v>
      </c>
      <c r="C50">
        <v>48</v>
      </c>
    </row>
    <row r="51" spans="2:3" x14ac:dyDescent="0.4">
      <c r="B51" s="1" t="s">
        <v>1543</v>
      </c>
      <c r="C51">
        <v>49</v>
      </c>
    </row>
    <row r="52" spans="2:3" x14ac:dyDescent="0.4">
      <c r="B52" s="1" t="s">
        <v>1544</v>
      </c>
      <c r="C52">
        <v>50</v>
      </c>
    </row>
    <row r="53" spans="2:3" x14ac:dyDescent="0.4">
      <c r="B53" s="1" t="s">
        <v>1545</v>
      </c>
      <c r="C53">
        <v>51</v>
      </c>
    </row>
    <row r="54" spans="2:3" x14ac:dyDescent="0.4">
      <c r="B54" s="1" t="s">
        <v>1546</v>
      </c>
      <c r="C54">
        <v>52</v>
      </c>
    </row>
    <row r="55" spans="2:3" x14ac:dyDescent="0.4">
      <c r="B55" s="1" t="s">
        <v>1547</v>
      </c>
      <c r="C55">
        <v>53</v>
      </c>
    </row>
    <row r="56" spans="2:3" x14ac:dyDescent="0.4">
      <c r="B56" s="1" t="s">
        <v>1548</v>
      </c>
      <c r="C56">
        <v>54</v>
      </c>
    </row>
    <row r="57" spans="2:3" x14ac:dyDescent="0.4">
      <c r="B57" s="1" t="s">
        <v>1549</v>
      </c>
      <c r="C57">
        <v>55</v>
      </c>
    </row>
    <row r="58" spans="2:3" x14ac:dyDescent="0.4">
      <c r="B58" s="1" t="s">
        <v>1550</v>
      </c>
      <c r="C58">
        <v>56</v>
      </c>
    </row>
    <row r="59" spans="2:3" x14ac:dyDescent="0.4">
      <c r="B59" s="1" t="s">
        <v>1551</v>
      </c>
      <c r="C59">
        <v>57</v>
      </c>
    </row>
    <row r="60" spans="2:3" x14ac:dyDescent="0.4">
      <c r="B60" s="1" t="s">
        <v>1552</v>
      </c>
      <c r="C60">
        <v>58</v>
      </c>
    </row>
    <row r="61" spans="2:3" x14ac:dyDescent="0.4">
      <c r="B61" s="1" t="s">
        <v>1553</v>
      </c>
      <c r="C61">
        <v>59</v>
      </c>
    </row>
    <row r="62" spans="2:3" x14ac:dyDescent="0.4">
      <c r="B62" s="1" t="s">
        <v>1554</v>
      </c>
      <c r="C62">
        <v>60</v>
      </c>
    </row>
    <row r="63" spans="2:3" x14ac:dyDescent="0.4">
      <c r="B63" s="1" t="s">
        <v>1895</v>
      </c>
      <c r="C63">
        <v>61</v>
      </c>
    </row>
    <row r="64" spans="2:3" x14ac:dyDescent="0.4">
      <c r="B64" s="1" t="s">
        <v>1555</v>
      </c>
      <c r="C64">
        <v>62</v>
      </c>
    </row>
    <row r="65" spans="2:3" x14ac:dyDescent="0.4">
      <c r="B65" s="1" t="s">
        <v>1556</v>
      </c>
      <c r="C65">
        <v>63</v>
      </c>
    </row>
    <row r="66" spans="2:3" x14ac:dyDescent="0.4">
      <c r="B66" s="1" t="s">
        <v>1557</v>
      </c>
      <c r="C66">
        <v>64</v>
      </c>
    </row>
    <row r="67" spans="2:3" x14ac:dyDescent="0.4">
      <c r="B67" s="1" t="s">
        <v>1558</v>
      </c>
      <c r="C67">
        <v>65</v>
      </c>
    </row>
    <row r="68" spans="2:3" x14ac:dyDescent="0.4">
      <c r="B68" s="1" t="s">
        <v>1559</v>
      </c>
      <c r="C68">
        <v>66</v>
      </c>
    </row>
    <row r="69" spans="2:3" x14ac:dyDescent="0.4">
      <c r="B69" s="1" t="s">
        <v>1560</v>
      </c>
      <c r="C69">
        <v>67</v>
      </c>
    </row>
    <row r="70" spans="2:3" x14ac:dyDescent="0.4">
      <c r="B70" s="1" t="s">
        <v>1561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1902</v>
      </c>
      <c r="C72" t="s">
        <v>1564</v>
      </c>
    </row>
    <row r="73" spans="2:3" x14ac:dyDescent="0.4">
      <c r="B73" s="1" t="s">
        <v>1565</v>
      </c>
      <c r="C73" t="s">
        <v>1566</v>
      </c>
    </row>
    <row r="74" spans="2:3" x14ac:dyDescent="0.4">
      <c r="B74" s="1" t="s">
        <v>1567</v>
      </c>
      <c r="C74" t="s">
        <v>1568</v>
      </c>
    </row>
    <row r="75" spans="2:3" x14ac:dyDescent="0.4">
      <c r="B75" s="1" t="s">
        <v>1569</v>
      </c>
      <c r="C75" t="s">
        <v>1570</v>
      </c>
    </row>
    <row r="76" spans="2:3" x14ac:dyDescent="0.4">
      <c r="B76" s="1" t="s">
        <v>1571</v>
      </c>
      <c r="C76" t="s">
        <v>1572</v>
      </c>
    </row>
    <row r="77" spans="2:3" x14ac:dyDescent="0.4">
      <c r="B77" s="1" t="s">
        <v>1573</v>
      </c>
      <c r="C77" t="s">
        <v>1574</v>
      </c>
    </row>
    <row r="78" spans="2:3" x14ac:dyDescent="0.4">
      <c r="B78" s="1" t="s">
        <v>1575</v>
      </c>
      <c r="C78" t="s">
        <v>1576</v>
      </c>
    </row>
    <row r="79" spans="2:3" x14ac:dyDescent="0.4">
      <c r="B79" s="1" t="s">
        <v>1577</v>
      </c>
      <c r="C79" t="s">
        <v>1578</v>
      </c>
    </row>
    <row r="80" spans="2:3" x14ac:dyDescent="0.4">
      <c r="B80" s="1" t="s">
        <v>1579</v>
      </c>
      <c r="C80" t="s">
        <v>1580</v>
      </c>
    </row>
    <row r="81" spans="2:3" x14ac:dyDescent="0.4">
      <c r="B81" s="1" t="s">
        <v>72</v>
      </c>
      <c r="C81" t="s">
        <v>1581</v>
      </c>
    </row>
    <row r="82" spans="2:3" x14ac:dyDescent="0.4">
      <c r="B82" s="1" t="s">
        <v>1903</v>
      </c>
      <c r="C82" t="s">
        <v>1582</v>
      </c>
    </row>
    <row r="83" spans="2:3" x14ac:dyDescent="0.4">
      <c r="B83" s="1" t="s">
        <v>1583</v>
      </c>
      <c r="C83" t="s">
        <v>1584</v>
      </c>
    </row>
    <row r="84" spans="2:3" x14ac:dyDescent="0.4">
      <c r="B84" s="1" t="s">
        <v>1904</v>
      </c>
      <c r="C84" t="s">
        <v>1585</v>
      </c>
    </row>
    <row r="85" spans="2:3" x14ac:dyDescent="0.4">
      <c r="B85" s="1" t="s">
        <v>1899</v>
      </c>
      <c r="C85" t="s">
        <v>1586</v>
      </c>
    </row>
    <row r="86" spans="2:3" x14ac:dyDescent="0.4">
      <c r="B86" s="1" t="s">
        <v>1905</v>
      </c>
      <c r="C86" t="s">
        <v>864</v>
      </c>
    </row>
    <row r="87" spans="2:3" x14ac:dyDescent="0.4">
      <c r="B87" s="1" t="s">
        <v>216</v>
      </c>
      <c r="C87" t="s">
        <v>1587</v>
      </c>
    </row>
    <row r="88" spans="2:3" x14ac:dyDescent="0.4">
      <c r="B88" s="1" t="s">
        <v>1588</v>
      </c>
      <c r="C88" t="s">
        <v>1589</v>
      </c>
    </row>
    <row r="89" spans="2:3" x14ac:dyDescent="0.4">
      <c r="B89" s="1" t="s">
        <v>1900</v>
      </c>
      <c r="C89" t="s">
        <v>1590</v>
      </c>
    </row>
    <row r="90" spans="2:3" x14ac:dyDescent="0.4">
      <c r="B90" s="1" t="s">
        <v>1591</v>
      </c>
      <c r="C90" t="s">
        <v>1592</v>
      </c>
    </row>
    <row r="91" spans="2:3" x14ac:dyDescent="0.4">
      <c r="B91" s="1" t="s">
        <v>1906</v>
      </c>
      <c r="C91" t="s">
        <v>718</v>
      </c>
    </row>
    <row r="92" spans="2:3" x14ac:dyDescent="0.4">
      <c r="B92" s="1" t="s">
        <v>1593</v>
      </c>
      <c r="C92" t="s">
        <v>1594</v>
      </c>
    </row>
    <row r="93" spans="2:3" x14ac:dyDescent="0.4">
      <c r="B93" s="1" t="s">
        <v>1595</v>
      </c>
      <c r="C93" t="s">
        <v>1596</v>
      </c>
    </row>
    <row r="94" spans="2:3" x14ac:dyDescent="0.4">
      <c r="B94" s="1" t="s">
        <v>1597</v>
      </c>
      <c r="C94" t="s">
        <v>1598</v>
      </c>
    </row>
    <row r="95" spans="2:3" x14ac:dyDescent="0.4">
      <c r="B95" s="1" t="s">
        <v>1907</v>
      </c>
      <c r="C95" t="s">
        <v>1599</v>
      </c>
    </row>
    <row r="96" spans="2:3" x14ac:dyDescent="0.4">
      <c r="B96" s="1" t="s">
        <v>713</v>
      </c>
      <c r="C96" t="s">
        <v>1600</v>
      </c>
    </row>
    <row r="97" spans="2:3" x14ac:dyDescent="0.4">
      <c r="B97" s="1" t="s">
        <v>1601</v>
      </c>
      <c r="C97" t="s">
        <v>1602</v>
      </c>
    </row>
    <row r="98" spans="2:3" x14ac:dyDescent="0.4">
      <c r="B98" s="1" t="s">
        <v>1603</v>
      </c>
      <c r="C98" t="s">
        <v>1604</v>
      </c>
    </row>
    <row r="99" spans="2:3" x14ac:dyDescent="0.4">
      <c r="B99" s="1" t="s">
        <v>1908</v>
      </c>
      <c r="C99" t="s">
        <v>723</v>
      </c>
    </row>
    <row r="100" spans="2:3" x14ac:dyDescent="0.4">
      <c r="B100" s="1" t="s">
        <v>1605</v>
      </c>
      <c r="C100" t="s">
        <v>1606</v>
      </c>
    </row>
    <row r="101" spans="2:3" x14ac:dyDescent="0.4">
      <c r="B101" s="1" t="s">
        <v>1909</v>
      </c>
      <c r="C101" t="s">
        <v>1607</v>
      </c>
    </row>
    <row r="102" spans="2:3" x14ac:dyDescent="0.4">
      <c r="B102" s="1" t="s">
        <v>1910</v>
      </c>
      <c r="C102" t="s">
        <v>1608</v>
      </c>
    </row>
    <row r="103" spans="2:3" x14ac:dyDescent="0.4">
      <c r="B103" s="1" t="s">
        <v>1609</v>
      </c>
      <c r="C103" t="s">
        <v>1610</v>
      </c>
    </row>
    <row r="104" spans="2:3" x14ac:dyDescent="0.4">
      <c r="B104" s="1" t="s">
        <v>1911</v>
      </c>
      <c r="C104" t="s">
        <v>1611</v>
      </c>
    </row>
    <row r="105" spans="2:3" x14ac:dyDescent="0.4">
      <c r="B105" s="1" t="s">
        <v>287</v>
      </c>
      <c r="C105" t="s">
        <v>1612</v>
      </c>
    </row>
    <row r="106" spans="2:3" x14ac:dyDescent="0.4">
      <c r="B106" s="1" t="s">
        <v>1613</v>
      </c>
      <c r="C106" t="s">
        <v>1614</v>
      </c>
    </row>
    <row r="107" spans="2:3" x14ac:dyDescent="0.4">
      <c r="B107" s="1" t="s">
        <v>1912</v>
      </c>
      <c r="C107" t="s">
        <v>1615</v>
      </c>
    </row>
    <row r="108" spans="2:3" x14ac:dyDescent="0.4">
      <c r="B108" s="1" t="s">
        <v>1913</v>
      </c>
      <c r="C108" t="s">
        <v>1616</v>
      </c>
    </row>
    <row r="109" spans="2:3" x14ac:dyDescent="0.4">
      <c r="B109" s="1" t="s">
        <v>1914</v>
      </c>
      <c r="C109" t="s">
        <v>1617</v>
      </c>
    </row>
    <row r="110" spans="2:3" x14ac:dyDescent="0.4">
      <c r="B110" s="1" t="s">
        <v>1618</v>
      </c>
      <c r="C110" t="s">
        <v>1619</v>
      </c>
    </row>
    <row r="111" spans="2:3" x14ac:dyDescent="0.4">
      <c r="B111" s="1" t="s">
        <v>1915</v>
      </c>
      <c r="C111" t="s">
        <v>1620</v>
      </c>
    </row>
    <row r="112" spans="2:3" x14ac:dyDescent="0.4">
      <c r="B112" s="1" t="s">
        <v>1621</v>
      </c>
      <c r="C112" t="s">
        <v>1622</v>
      </c>
    </row>
    <row r="113" spans="2:3" x14ac:dyDescent="0.4">
      <c r="B113" s="1" t="s">
        <v>1916</v>
      </c>
      <c r="C113" t="s">
        <v>1623</v>
      </c>
    </row>
    <row r="114" spans="2:3" x14ac:dyDescent="0.4">
      <c r="B114" s="1" t="s">
        <v>1917</v>
      </c>
      <c r="C114" t="s">
        <v>1624</v>
      </c>
    </row>
    <row r="115" spans="2:3" x14ac:dyDescent="0.4">
      <c r="B115" s="1" t="s">
        <v>1918</v>
      </c>
      <c r="C115" t="s">
        <v>1625</v>
      </c>
    </row>
    <row r="116" spans="2:3" x14ac:dyDescent="0.4">
      <c r="B116" s="1" t="s">
        <v>504</v>
      </c>
      <c r="C116" t="s">
        <v>1626</v>
      </c>
    </row>
    <row r="117" spans="2:3" x14ac:dyDescent="0.4">
      <c r="B117" s="1" t="s">
        <v>1919</v>
      </c>
      <c r="C117" t="s">
        <v>1627</v>
      </c>
    </row>
    <row r="118" spans="2:3" x14ac:dyDescent="0.4">
      <c r="B118" s="1" t="s">
        <v>1628</v>
      </c>
      <c r="C118" t="s">
        <v>1629</v>
      </c>
    </row>
    <row r="119" spans="2:3" x14ac:dyDescent="0.4">
      <c r="B119" s="1" t="s">
        <v>1920</v>
      </c>
      <c r="C119" t="s">
        <v>1630</v>
      </c>
    </row>
    <row r="120" spans="2:3" x14ac:dyDescent="0.4">
      <c r="B120" s="1" t="s">
        <v>1631</v>
      </c>
      <c r="C120" t="s">
        <v>1632</v>
      </c>
    </row>
    <row r="121" spans="2:3" x14ac:dyDescent="0.4">
      <c r="B121" s="1" t="s">
        <v>1921</v>
      </c>
      <c r="C121" t="s">
        <v>1633</v>
      </c>
    </row>
    <row r="122" spans="2:3" x14ac:dyDescent="0.4">
      <c r="B122" s="1" t="s">
        <v>1922</v>
      </c>
      <c r="C122" t="s">
        <v>1634</v>
      </c>
    </row>
    <row r="123" spans="2:3" x14ac:dyDescent="0.4">
      <c r="B123" s="1" t="s">
        <v>1923</v>
      </c>
      <c r="C123" t="s">
        <v>1635</v>
      </c>
    </row>
    <row r="124" spans="2:3" x14ac:dyDescent="0.4">
      <c r="B124" s="1" t="s">
        <v>1924</v>
      </c>
      <c r="C124" t="s">
        <v>1636</v>
      </c>
    </row>
    <row r="125" spans="2:3" x14ac:dyDescent="0.4">
      <c r="B125" s="1" t="s">
        <v>1637</v>
      </c>
      <c r="C125" t="s">
        <v>1638</v>
      </c>
    </row>
    <row r="126" spans="2:3" x14ac:dyDescent="0.4">
      <c r="B126" s="1" t="s">
        <v>1639</v>
      </c>
      <c r="C126" t="s">
        <v>1640</v>
      </c>
    </row>
    <row r="127" spans="2:3" x14ac:dyDescent="0.4">
      <c r="B127" s="1" t="s">
        <v>1641</v>
      </c>
      <c r="C127" t="s">
        <v>1642</v>
      </c>
    </row>
    <row r="128" spans="2:3" x14ac:dyDescent="0.4">
      <c r="B128" s="1" t="s">
        <v>1925</v>
      </c>
      <c r="C128" t="s">
        <v>1643</v>
      </c>
    </row>
    <row r="129" spans="2:3" x14ac:dyDescent="0.4">
      <c r="B129" s="1" t="s">
        <v>1644</v>
      </c>
      <c r="C129" t="s">
        <v>1645</v>
      </c>
    </row>
    <row r="130" spans="2:3" x14ac:dyDescent="0.4">
      <c r="B130" s="1" t="s">
        <v>1646</v>
      </c>
      <c r="C130" t="s">
        <v>81</v>
      </c>
    </row>
    <row r="131" spans="2:3" x14ac:dyDescent="0.4">
      <c r="B131" s="1" t="s">
        <v>1926</v>
      </c>
      <c r="C131" t="s">
        <v>1647</v>
      </c>
    </row>
    <row r="132" spans="2:3" x14ac:dyDescent="0.4">
      <c r="B132" s="1" t="s">
        <v>73</v>
      </c>
      <c r="C132" t="s">
        <v>1648</v>
      </c>
    </row>
    <row r="133" spans="2:3" x14ac:dyDescent="0.4">
      <c r="B133" s="1" t="s">
        <v>1927</v>
      </c>
      <c r="C133" t="s">
        <v>1649</v>
      </c>
    </row>
    <row r="134" spans="2:3" x14ac:dyDescent="0.4">
      <c r="B134" s="1" t="s">
        <v>1928</v>
      </c>
      <c r="C134" t="s">
        <v>1650</v>
      </c>
    </row>
    <row r="135" spans="2:3" x14ac:dyDescent="0.4">
      <c r="B135" s="1" t="s">
        <v>1929</v>
      </c>
      <c r="C135" t="s">
        <v>1651</v>
      </c>
    </row>
    <row r="136" spans="2:3" x14ac:dyDescent="0.4">
      <c r="B136" s="1" t="s">
        <v>1652</v>
      </c>
      <c r="C136" t="s">
        <v>1653</v>
      </c>
    </row>
    <row r="137" spans="2:3" x14ac:dyDescent="0.4">
      <c r="B137" s="1" t="s">
        <v>1654</v>
      </c>
      <c r="C137" t="s">
        <v>1655</v>
      </c>
    </row>
    <row r="138" spans="2:3" x14ac:dyDescent="0.4">
      <c r="B138" s="1" t="s">
        <v>1656</v>
      </c>
      <c r="C138" t="s">
        <v>1657</v>
      </c>
    </row>
    <row r="139" spans="2:3" x14ac:dyDescent="0.4">
      <c r="B139" s="1" t="s">
        <v>1658</v>
      </c>
      <c r="C139" t="s">
        <v>1659</v>
      </c>
    </row>
    <row r="140" spans="2:3" x14ac:dyDescent="0.4">
      <c r="B140" s="1" t="s">
        <v>1660</v>
      </c>
      <c r="C140" t="s">
        <v>1661</v>
      </c>
    </row>
    <row r="141" spans="2:3" x14ac:dyDescent="0.4">
      <c r="B141" s="1" t="s">
        <v>1930</v>
      </c>
      <c r="C141" t="s">
        <v>1662</v>
      </c>
    </row>
    <row r="142" spans="2:3" x14ac:dyDescent="0.4">
      <c r="B142" s="1" t="s">
        <v>1663</v>
      </c>
      <c r="C142" t="s">
        <v>1664</v>
      </c>
    </row>
    <row r="143" spans="2:3" x14ac:dyDescent="0.4">
      <c r="B143" s="1" t="s">
        <v>1665</v>
      </c>
      <c r="C143" t="s">
        <v>1666</v>
      </c>
    </row>
    <row r="144" spans="2:3" x14ac:dyDescent="0.4">
      <c r="B144" s="1" t="s">
        <v>1667</v>
      </c>
      <c r="C144" t="s">
        <v>1668</v>
      </c>
    </row>
    <row r="145" spans="2:7" x14ac:dyDescent="0.4">
      <c r="B145" s="1" t="s">
        <v>1669</v>
      </c>
      <c r="C145" t="s">
        <v>1670</v>
      </c>
    </row>
    <row r="146" spans="2:7" x14ac:dyDescent="0.4">
      <c r="B146" s="1" t="s">
        <v>1671</v>
      </c>
      <c r="C146" t="s">
        <v>1672</v>
      </c>
    </row>
    <row r="147" spans="2:7" x14ac:dyDescent="0.4">
      <c r="B147" s="1" t="s">
        <v>1673</v>
      </c>
      <c r="C147" t="s">
        <v>1674</v>
      </c>
    </row>
    <row r="148" spans="2:7" x14ac:dyDescent="0.4">
      <c r="B148" s="1" t="s">
        <v>1931</v>
      </c>
      <c r="C148" t="s">
        <v>1675</v>
      </c>
    </row>
    <row r="149" spans="2:7" x14ac:dyDescent="0.4">
      <c r="B149" s="1" t="s">
        <v>1676</v>
      </c>
      <c r="C149" t="s">
        <v>1677</v>
      </c>
    </row>
    <row r="150" spans="2:7" x14ac:dyDescent="0.4">
      <c r="B150" s="1" t="s">
        <v>1678</v>
      </c>
      <c r="C150" t="s">
        <v>1679</v>
      </c>
    </row>
    <row r="151" spans="2:7" x14ac:dyDescent="0.4">
      <c r="B151" s="1" t="s">
        <v>1932</v>
      </c>
      <c r="C151" t="s">
        <v>1680</v>
      </c>
    </row>
    <row r="152" spans="2:7" x14ac:dyDescent="0.4">
      <c r="B152" s="1" t="s">
        <v>1933</v>
      </c>
      <c r="C152" t="s">
        <v>1681</v>
      </c>
    </row>
    <row r="153" spans="2:7" x14ac:dyDescent="0.4">
      <c r="B153" s="1" t="s">
        <v>1682</v>
      </c>
      <c r="C153" t="s">
        <v>1683</v>
      </c>
    </row>
    <row r="154" spans="2:7" x14ac:dyDescent="0.4">
      <c r="B154" s="1" t="s">
        <v>1684</v>
      </c>
      <c r="C154" t="s">
        <v>1434</v>
      </c>
    </row>
    <row r="155" spans="2:7" x14ac:dyDescent="0.4">
      <c r="B155" s="1" t="s">
        <v>1685</v>
      </c>
      <c r="C155" t="s">
        <v>1686</v>
      </c>
    </row>
    <row r="156" spans="2:7" x14ac:dyDescent="0.4">
      <c r="B156" s="1" t="s">
        <v>1934</v>
      </c>
      <c r="C156" t="s">
        <v>1687</v>
      </c>
    </row>
    <row r="157" spans="2:7" x14ac:dyDescent="0.4">
      <c r="B157" s="1" t="s">
        <v>1688</v>
      </c>
      <c r="C157" t="s">
        <v>1689</v>
      </c>
    </row>
    <row r="158" spans="2:7" x14ac:dyDescent="0.4">
      <c r="B158" s="1" t="s">
        <v>1690</v>
      </c>
      <c r="C158" t="s">
        <v>1691</v>
      </c>
      <c r="D158" s="33" t="s">
        <v>2061</v>
      </c>
      <c r="E158" s="34" t="s">
        <v>2112</v>
      </c>
      <c r="F158" s="34" t="s">
        <v>2142</v>
      </c>
      <c r="G158" s="34" t="s">
        <v>2111</v>
      </c>
    </row>
    <row r="159" spans="2:7" x14ac:dyDescent="0.4">
      <c r="B159" s="1" t="s">
        <v>1692</v>
      </c>
      <c r="C159" t="s">
        <v>2014</v>
      </c>
    </row>
    <row r="160" spans="2:7" x14ac:dyDescent="0.4">
      <c r="B160" s="1" t="s">
        <v>1693</v>
      </c>
      <c r="C160" t="s">
        <v>2045</v>
      </c>
    </row>
    <row r="161" spans="2:5" x14ac:dyDescent="0.4">
      <c r="B161" s="1" t="s">
        <v>1935</v>
      </c>
      <c r="C161" t="s">
        <v>1694</v>
      </c>
    </row>
    <row r="162" spans="2:5" x14ac:dyDescent="0.4">
      <c r="B162" s="1" t="s">
        <v>1695</v>
      </c>
      <c r="C162" t="s">
        <v>1696</v>
      </c>
      <c r="D162" s="33" t="s">
        <v>2110</v>
      </c>
      <c r="E162" s="34" t="s">
        <v>2113</v>
      </c>
    </row>
    <row r="163" spans="2:5" x14ac:dyDescent="0.4">
      <c r="B163" s="1" t="s">
        <v>1697</v>
      </c>
      <c r="C163" t="s">
        <v>1698</v>
      </c>
      <c r="D163" s="33" t="s">
        <v>2088</v>
      </c>
      <c r="E163" s="34" t="s">
        <v>2114</v>
      </c>
    </row>
    <row r="164" spans="2:5" x14ac:dyDescent="0.4">
      <c r="B164" s="1" t="s">
        <v>1936</v>
      </c>
      <c r="C164" t="s">
        <v>1699</v>
      </c>
    </row>
    <row r="165" spans="2:5" x14ac:dyDescent="0.4">
      <c r="B165" s="1" t="s">
        <v>1700</v>
      </c>
      <c r="C165" t="s">
        <v>1701</v>
      </c>
    </row>
    <row r="166" spans="2:5" x14ac:dyDescent="0.4">
      <c r="B166" s="1" t="s">
        <v>1937</v>
      </c>
      <c r="C166" t="s">
        <v>1702</v>
      </c>
    </row>
    <row r="167" spans="2:5" x14ac:dyDescent="0.4">
      <c r="B167" s="1" t="s">
        <v>1703</v>
      </c>
      <c r="C167" t="s">
        <v>1704</v>
      </c>
    </row>
    <row r="168" spans="2:5" x14ac:dyDescent="0.4">
      <c r="B168" s="1" t="s">
        <v>1705</v>
      </c>
      <c r="C168" t="s">
        <v>1706</v>
      </c>
    </row>
    <row r="169" spans="2:5" x14ac:dyDescent="0.4">
      <c r="B169" s="1" t="s">
        <v>1707</v>
      </c>
      <c r="C169" t="s">
        <v>1708</v>
      </c>
    </row>
    <row r="170" spans="2:5" x14ac:dyDescent="0.4">
      <c r="B170" s="1" t="s">
        <v>1709</v>
      </c>
      <c r="C170" t="s">
        <v>1710</v>
      </c>
    </row>
    <row r="171" spans="2:5" x14ac:dyDescent="0.4">
      <c r="B171" s="1" t="s">
        <v>1711</v>
      </c>
      <c r="C171" t="s">
        <v>72</v>
      </c>
    </row>
    <row r="172" spans="2:5" x14ac:dyDescent="0.4">
      <c r="B172" s="1" t="s">
        <v>1938</v>
      </c>
      <c r="C172" t="s">
        <v>1712</v>
      </c>
    </row>
    <row r="173" spans="2:5" x14ac:dyDescent="0.4">
      <c r="B173" s="1" t="s">
        <v>1713</v>
      </c>
      <c r="C173" t="s">
        <v>1995</v>
      </c>
    </row>
    <row r="174" spans="2:5" x14ac:dyDescent="0.4">
      <c r="B174" s="1" t="s">
        <v>1714</v>
      </c>
      <c r="C174" t="s">
        <v>1715</v>
      </c>
    </row>
    <row r="175" spans="2:5" x14ac:dyDescent="0.4">
      <c r="B175" s="1" t="s">
        <v>1716</v>
      </c>
      <c r="C175" t="s">
        <v>857</v>
      </c>
    </row>
    <row r="176" spans="2:5" x14ac:dyDescent="0.4">
      <c r="B176" s="1" t="s">
        <v>1717</v>
      </c>
      <c r="C176" t="s">
        <v>2015</v>
      </c>
    </row>
    <row r="177" spans="2:7" x14ac:dyDescent="0.4">
      <c r="B177" s="1" t="s">
        <v>1939</v>
      </c>
      <c r="C177" t="s">
        <v>1718</v>
      </c>
    </row>
    <row r="178" spans="2:7" x14ac:dyDescent="0.4">
      <c r="B178" s="1" t="s">
        <v>1719</v>
      </c>
      <c r="C178" t="s">
        <v>1720</v>
      </c>
    </row>
    <row r="179" spans="2:7" x14ac:dyDescent="0.4">
      <c r="B179" s="1" t="s">
        <v>1721</v>
      </c>
      <c r="C179" t="s">
        <v>1722</v>
      </c>
      <c r="D179" s="33" t="s">
        <v>2080</v>
      </c>
      <c r="E179" s="34" t="s">
        <v>2111</v>
      </c>
      <c r="F179" s="32" t="s">
        <v>2140</v>
      </c>
    </row>
    <row r="180" spans="2:7" x14ac:dyDescent="0.4">
      <c r="B180" s="1" t="s">
        <v>1723</v>
      </c>
      <c r="C180" t="s">
        <v>1724</v>
      </c>
      <c r="D180" s="33" t="s">
        <v>2070</v>
      </c>
      <c r="E180" s="34" t="s">
        <v>2142</v>
      </c>
      <c r="F180" s="32" t="s">
        <v>2140</v>
      </c>
    </row>
    <row r="181" spans="2:7" x14ac:dyDescent="0.4">
      <c r="B181" s="1" t="s">
        <v>1725</v>
      </c>
      <c r="C181" t="s">
        <v>1726</v>
      </c>
    </row>
    <row r="182" spans="2:7" x14ac:dyDescent="0.4">
      <c r="B182" s="1" t="s">
        <v>1940</v>
      </c>
      <c r="C182" t="s">
        <v>1727</v>
      </c>
    </row>
    <row r="183" spans="2:7" x14ac:dyDescent="0.4">
      <c r="B183" s="1" t="s">
        <v>1941</v>
      </c>
      <c r="C183" t="s">
        <v>2162</v>
      </c>
      <c r="D183" s="33" t="s">
        <v>2161</v>
      </c>
      <c r="E183" s="34" t="s">
        <v>2142</v>
      </c>
      <c r="F183" s="34" t="s">
        <v>2134</v>
      </c>
    </row>
    <row r="184" spans="2:7" x14ac:dyDescent="0.4">
      <c r="B184" s="1" t="s">
        <v>1942</v>
      </c>
      <c r="C184" t="s">
        <v>1728</v>
      </c>
      <c r="D184" s="33" t="s">
        <v>2160</v>
      </c>
      <c r="E184" s="34" t="s">
        <v>2142</v>
      </c>
      <c r="F184" s="34" t="s">
        <v>2132</v>
      </c>
      <c r="G184" s="34" t="s">
        <v>2537</v>
      </c>
    </row>
    <row r="185" spans="2:7" x14ac:dyDescent="0.4">
      <c r="B185" s="1" t="s">
        <v>1729</v>
      </c>
      <c r="C185" t="s">
        <v>1730</v>
      </c>
    </row>
    <row r="186" spans="2:7" x14ac:dyDescent="0.4">
      <c r="B186" s="1" t="s">
        <v>1731</v>
      </c>
      <c r="C186" t="s">
        <v>1992</v>
      </c>
    </row>
    <row r="187" spans="2:7" x14ac:dyDescent="0.4">
      <c r="B187" s="1" t="s">
        <v>1732</v>
      </c>
      <c r="C187" t="s">
        <v>1733</v>
      </c>
    </row>
    <row r="188" spans="2:7" x14ac:dyDescent="0.4">
      <c r="B188" s="1" t="s">
        <v>1734</v>
      </c>
      <c r="C188" t="s">
        <v>1735</v>
      </c>
      <c r="D188" s="33" t="s">
        <v>2073</v>
      </c>
      <c r="E188" s="34" t="s">
        <v>2115</v>
      </c>
    </row>
    <row r="189" spans="2:7" x14ac:dyDescent="0.4">
      <c r="B189" s="1" t="s">
        <v>1736</v>
      </c>
      <c r="C189" t="s">
        <v>1737</v>
      </c>
    </row>
    <row r="190" spans="2:7" x14ac:dyDescent="0.4">
      <c r="B190" s="1" t="s">
        <v>1738</v>
      </c>
      <c r="C190" t="s">
        <v>1739</v>
      </c>
    </row>
    <row r="191" spans="2:7" x14ac:dyDescent="0.4">
      <c r="B191" s="1" t="s">
        <v>1943</v>
      </c>
      <c r="C191" t="s">
        <v>1740</v>
      </c>
    </row>
    <row r="192" spans="2:7" x14ac:dyDescent="0.4">
      <c r="B192" s="1" t="s">
        <v>1944</v>
      </c>
      <c r="C192" t="s">
        <v>1741</v>
      </c>
    </row>
    <row r="193" spans="2:7" x14ac:dyDescent="0.4">
      <c r="B193" s="1" t="s">
        <v>1742</v>
      </c>
      <c r="C193" t="s">
        <v>1991</v>
      </c>
      <c r="D193" s="33" t="s">
        <v>2068</v>
      </c>
      <c r="E193" s="34" t="s">
        <v>2142</v>
      </c>
      <c r="F193" s="32" t="s">
        <v>2138</v>
      </c>
      <c r="G193" s="32" t="s">
        <v>2139</v>
      </c>
    </row>
    <row r="194" spans="2:7" x14ac:dyDescent="0.4">
      <c r="B194" s="1" t="s">
        <v>1743</v>
      </c>
      <c r="C194" t="s">
        <v>1744</v>
      </c>
      <c r="D194" s="33" t="s">
        <v>2068</v>
      </c>
      <c r="E194" s="34" t="s">
        <v>2142</v>
      </c>
      <c r="F194" s="32" t="s">
        <v>2138</v>
      </c>
      <c r="G194" s="32" t="s">
        <v>2139</v>
      </c>
    </row>
    <row r="195" spans="2:7" x14ac:dyDescent="0.4">
      <c r="B195" s="1" t="s">
        <v>1745</v>
      </c>
      <c r="C195" t="s">
        <v>1746</v>
      </c>
      <c r="D195" s="33" t="s">
        <v>2105</v>
      </c>
      <c r="E195" s="34" t="s">
        <v>2135</v>
      </c>
    </row>
    <row r="196" spans="2:7" x14ac:dyDescent="0.4">
      <c r="B196" s="1" t="s">
        <v>1747</v>
      </c>
      <c r="C196" t="s">
        <v>1748</v>
      </c>
    </row>
    <row r="197" spans="2:7" x14ac:dyDescent="0.4">
      <c r="B197" s="1" t="s">
        <v>1945</v>
      </c>
      <c r="C197" t="s">
        <v>2166</v>
      </c>
      <c r="D197" s="33" t="s">
        <v>2156</v>
      </c>
      <c r="E197" s="34" t="s">
        <v>2136</v>
      </c>
      <c r="F197" s="34" t="s">
        <v>2144</v>
      </c>
    </row>
    <row r="198" spans="2:7" x14ac:dyDescent="0.4">
      <c r="B198" s="1" t="s">
        <v>1749</v>
      </c>
      <c r="C198" t="s">
        <v>2167</v>
      </c>
    </row>
    <row r="199" spans="2:7" x14ac:dyDescent="0.4">
      <c r="B199" s="1" t="s">
        <v>1946</v>
      </c>
      <c r="C199" t="s">
        <v>1750</v>
      </c>
      <c r="D199" s="33" t="s">
        <v>2106</v>
      </c>
      <c r="E199" s="34" t="s">
        <v>2135</v>
      </c>
      <c r="F199" s="32" t="s">
        <v>2137</v>
      </c>
    </row>
    <row r="200" spans="2:7" x14ac:dyDescent="0.4">
      <c r="B200" s="1" t="s">
        <v>1751</v>
      </c>
      <c r="C200" t="s">
        <v>1752</v>
      </c>
    </row>
    <row r="201" spans="2:7" x14ac:dyDescent="0.4">
      <c r="B201" s="1" t="s">
        <v>1947</v>
      </c>
      <c r="C201" t="s">
        <v>1753</v>
      </c>
    </row>
    <row r="202" spans="2:7" x14ac:dyDescent="0.4">
      <c r="B202" s="1" t="s">
        <v>1754</v>
      </c>
      <c r="C202" t="s">
        <v>1755</v>
      </c>
    </row>
    <row r="203" spans="2:7" x14ac:dyDescent="0.4">
      <c r="B203" s="1" t="s">
        <v>1756</v>
      </c>
      <c r="C203" t="s">
        <v>1757</v>
      </c>
    </row>
    <row r="204" spans="2:7" x14ac:dyDescent="0.4">
      <c r="B204" s="1" t="s">
        <v>1758</v>
      </c>
      <c r="C204" t="s">
        <v>1759</v>
      </c>
    </row>
    <row r="205" spans="2:7" x14ac:dyDescent="0.4">
      <c r="B205" s="1" t="s">
        <v>1948</v>
      </c>
      <c r="C205" t="s">
        <v>1760</v>
      </c>
      <c r="D205" s="33" t="s">
        <v>2060</v>
      </c>
      <c r="E205" s="34" t="s">
        <v>2118</v>
      </c>
      <c r="F205" s="34" t="s">
        <v>2142</v>
      </c>
      <c r="G205" s="34" t="s">
        <v>2111</v>
      </c>
    </row>
    <row r="206" spans="2:7" x14ac:dyDescent="0.4">
      <c r="B206" s="1" t="s">
        <v>1949</v>
      </c>
      <c r="C206" t="s">
        <v>1761</v>
      </c>
    </row>
    <row r="207" spans="2:7" x14ac:dyDescent="0.4">
      <c r="B207" s="1" t="s">
        <v>1762</v>
      </c>
      <c r="C207" t="s">
        <v>1763</v>
      </c>
    </row>
    <row r="208" spans="2:7" x14ac:dyDescent="0.4">
      <c r="B208" s="1" t="s">
        <v>857</v>
      </c>
      <c r="C208" t="s">
        <v>1764</v>
      </c>
      <c r="D208" s="33" t="s">
        <v>2076</v>
      </c>
      <c r="E208" s="34" t="s">
        <v>2134</v>
      </c>
    </row>
    <row r="209" spans="2:6" x14ac:dyDescent="0.4">
      <c r="B209" s="1" t="s">
        <v>1765</v>
      </c>
      <c r="C209" t="s">
        <v>1766</v>
      </c>
    </row>
    <row r="210" spans="2:6" x14ac:dyDescent="0.4">
      <c r="B210" s="1" t="s">
        <v>1071</v>
      </c>
      <c r="C210" t="s">
        <v>1767</v>
      </c>
    </row>
    <row r="211" spans="2:6" x14ac:dyDescent="0.4">
      <c r="B211" s="1" t="s">
        <v>1950</v>
      </c>
      <c r="C211" t="s">
        <v>1768</v>
      </c>
    </row>
    <row r="212" spans="2:6" x14ac:dyDescent="0.4">
      <c r="B212" s="1" t="s">
        <v>1769</v>
      </c>
      <c r="C212" t="s">
        <v>1770</v>
      </c>
      <c r="D212" s="33" t="s">
        <v>2157</v>
      </c>
      <c r="E212" s="34" t="s">
        <v>2115</v>
      </c>
      <c r="F212" s="34" t="s">
        <v>2111</v>
      </c>
    </row>
    <row r="213" spans="2:6" x14ac:dyDescent="0.4">
      <c r="B213" s="1" t="s">
        <v>1771</v>
      </c>
      <c r="C213" t="s">
        <v>1772</v>
      </c>
    </row>
    <row r="214" spans="2:6" x14ac:dyDescent="0.4">
      <c r="B214" s="1" t="s">
        <v>1773</v>
      </c>
      <c r="C214" t="s">
        <v>1774</v>
      </c>
    </row>
    <row r="215" spans="2:6" x14ac:dyDescent="0.4">
      <c r="B215" s="1" t="s">
        <v>1951</v>
      </c>
      <c r="C215" t="s">
        <v>2005</v>
      </c>
    </row>
    <row r="216" spans="2:6" x14ac:dyDescent="0.4">
      <c r="B216" s="1" t="s">
        <v>1077</v>
      </c>
      <c r="C216" t="s">
        <v>1775</v>
      </c>
      <c r="D216" s="33" t="s">
        <v>2059</v>
      </c>
      <c r="E216" s="34" t="s">
        <v>2141</v>
      </c>
    </row>
    <row r="217" spans="2:6" x14ac:dyDescent="0.4">
      <c r="B217" s="1" t="s">
        <v>1776</v>
      </c>
      <c r="C217" t="s">
        <v>1777</v>
      </c>
    </row>
    <row r="218" spans="2:6" x14ac:dyDescent="0.4">
      <c r="B218" s="1" t="s">
        <v>1778</v>
      </c>
      <c r="C218" t="s">
        <v>1779</v>
      </c>
    </row>
    <row r="219" spans="2:6" x14ac:dyDescent="0.4">
      <c r="B219" s="1" t="s">
        <v>1952</v>
      </c>
      <c r="C219" t="s">
        <v>1780</v>
      </c>
      <c r="D219" s="33" t="s">
        <v>2058</v>
      </c>
      <c r="E219" s="34" t="s">
        <v>2126</v>
      </c>
    </row>
    <row r="220" spans="2:6" x14ac:dyDescent="0.4">
      <c r="B220" s="1" t="s">
        <v>1953</v>
      </c>
      <c r="C220" t="s">
        <v>1781</v>
      </c>
    </row>
    <row r="221" spans="2:6" x14ac:dyDescent="0.4">
      <c r="B221" s="1" t="s">
        <v>1782</v>
      </c>
      <c r="C221" t="s">
        <v>1783</v>
      </c>
    </row>
    <row r="222" spans="2:6" x14ac:dyDescent="0.4">
      <c r="B222" s="1" t="s">
        <v>1954</v>
      </c>
      <c r="C222" t="s">
        <v>1784</v>
      </c>
    </row>
    <row r="223" spans="2:6" x14ac:dyDescent="0.4">
      <c r="B223" s="1" t="s">
        <v>1785</v>
      </c>
      <c r="C223" t="s">
        <v>2006</v>
      </c>
    </row>
    <row r="224" spans="2:6" x14ac:dyDescent="0.4">
      <c r="B224" s="1" t="s">
        <v>1786</v>
      </c>
      <c r="C224" t="s">
        <v>1787</v>
      </c>
    </row>
    <row r="225" spans="2:5" x14ac:dyDescent="0.4">
      <c r="B225" s="1" t="s">
        <v>1788</v>
      </c>
      <c r="C225" t="s">
        <v>2018</v>
      </c>
    </row>
    <row r="226" spans="2:5" x14ac:dyDescent="0.4">
      <c r="B226" s="1" t="s">
        <v>1789</v>
      </c>
      <c r="C226" t="s">
        <v>1790</v>
      </c>
    </row>
    <row r="227" spans="2:5" x14ac:dyDescent="0.4">
      <c r="B227" s="1" t="s">
        <v>1791</v>
      </c>
      <c r="C227" t="s">
        <v>1792</v>
      </c>
    </row>
    <row r="228" spans="2:5" x14ac:dyDescent="0.4">
      <c r="B228" s="1" t="s">
        <v>1793</v>
      </c>
      <c r="C228" t="s">
        <v>431</v>
      </c>
    </row>
    <row r="229" spans="2:5" x14ac:dyDescent="0.4">
      <c r="B229" s="1" t="s">
        <v>1794</v>
      </c>
      <c r="C229" t="s">
        <v>2013</v>
      </c>
    </row>
    <row r="230" spans="2:5" x14ac:dyDescent="0.4">
      <c r="B230" s="1" t="s">
        <v>1795</v>
      </c>
      <c r="C230" t="s">
        <v>1796</v>
      </c>
    </row>
    <row r="231" spans="2:5" x14ac:dyDescent="0.4">
      <c r="B231" s="1" t="s">
        <v>1797</v>
      </c>
      <c r="C231" t="s">
        <v>1798</v>
      </c>
      <c r="D231" s="33" t="s">
        <v>2085</v>
      </c>
      <c r="E231" s="34" t="s">
        <v>2125</v>
      </c>
    </row>
    <row r="232" spans="2:5" x14ac:dyDescent="0.4">
      <c r="B232" s="1" t="s">
        <v>1955</v>
      </c>
      <c r="C232" t="s">
        <v>1799</v>
      </c>
      <c r="D232" s="33" t="s">
        <v>2087</v>
      </c>
      <c r="E232" s="34" t="s">
        <v>2127</v>
      </c>
    </row>
    <row r="233" spans="2:5" x14ac:dyDescent="0.4">
      <c r="B233" s="1" t="s">
        <v>1800</v>
      </c>
      <c r="C233" t="s">
        <v>2029</v>
      </c>
    </row>
    <row r="234" spans="2:5" x14ac:dyDescent="0.4">
      <c r="B234" s="1" t="s">
        <v>1801</v>
      </c>
      <c r="C234" t="s">
        <v>1802</v>
      </c>
    </row>
    <row r="235" spans="2:5" x14ac:dyDescent="0.4">
      <c r="B235" s="1" t="s">
        <v>1803</v>
      </c>
      <c r="C235" t="s">
        <v>1804</v>
      </c>
    </row>
    <row r="236" spans="2:5" x14ac:dyDescent="0.4">
      <c r="B236" s="1" t="s">
        <v>1956</v>
      </c>
      <c r="C236" t="s">
        <v>1805</v>
      </c>
    </row>
    <row r="237" spans="2:5" x14ac:dyDescent="0.4">
      <c r="B237" s="1" t="s">
        <v>1806</v>
      </c>
      <c r="C237" t="s">
        <v>1807</v>
      </c>
      <c r="D237" s="33" t="s">
        <v>2145</v>
      </c>
      <c r="E237" s="34" t="s">
        <v>2113</v>
      </c>
    </row>
    <row r="238" spans="2:5" x14ac:dyDescent="0.4">
      <c r="B238" s="1" t="s">
        <v>1808</v>
      </c>
      <c r="C238" t="s">
        <v>1809</v>
      </c>
    </row>
    <row r="239" spans="2:5" x14ac:dyDescent="0.4">
      <c r="B239" s="1" t="s">
        <v>1810</v>
      </c>
      <c r="C239" t="s">
        <v>1811</v>
      </c>
    </row>
    <row r="240" spans="2:5" x14ac:dyDescent="0.4">
      <c r="B240" s="1" t="s">
        <v>1957</v>
      </c>
      <c r="C240" t="s">
        <v>1812</v>
      </c>
      <c r="D240" s="33" t="s">
        <v>2062</v>
      </c>
      <c r="E240" s="34" t="s">
        <v>2112</v>
      </c>
    </row>
    <row r="241" spans="2:6" x14ac:dyDescent="0.4">
      <c r="B241" s="1" t="s">
        <v>1958</v>
      </c>
      <c r="C241" t="s">
        <v>1813</v>
      </c>
      <c r="D241" s="33" t="s">
        <v>2063</v>
      </c>
      <c r="E241" s="34" t="s">
        <v>2128</v>
      </c>
    </row>
    <row r="242" spans="2:6" x14ac:dyDescent="0.4">
      <c r="B242" s="1" t="s">
        <v>1814</v>
      </c>
      <c r="C242" t="s">
        <v>1815</v>
      </c>
      <c r="D242" s="33" t="s">
        <v>2090</v>
      </c>
      <c r="E242" s="34" t="s">
        <v>2129</v>
      </c>
      <c r="F242" s="34" t="s">
        <v>2136</v>
      </c>
    </row>
    <row r="243" spans="2:6" x14ac:dyDescent="0.4">
      <c r="B243" s="1" t="s">
        <v>1816</v>
      </c>
      <c r="C243" t="s">
        <v>1817</v>
      </c>
    </row>
    <row r="244" spans="2:6" x14ac:dyDescent="0.4">
      <c r="B244" s="1" t="s">
        <v>1818</v>
      </c>
      <c r="C244" t="s">
        <v>1819</v>
      </c>
      <c r="D244" s="33" t="s">
        <v>2091</v>
      </c>
      <c r="E244" s="34" t="s">
        <v>2130</v>
      </c>
    </row>
    <row r="245" spans="2:6" x14ac:dyDescent="0.4">
      <c r="B245" s="1" t="s">
        <v>1959</v>
      </c>
      <c r="C245" t="s">
        <v>1820</v>
      </c>
      <c r="D245" s="33" t="s">
        <v>2089</v>
      </c>
      <c r="E245" s="34" t="s">
        <v>2129</v>
      </c>
    </row>
    <row r="246" spans="2:6" x14ac:dyDescent="0.4">
      <c r="B246" s="1" t="s">
        <v>1960</v>
      </c>
      <c r="C246" t="s">
        <v>1821</v>
      </c>
      <c r="D246" s="33" t="s">
        <v>2072</v>
      </c>
      <c r="E246" s="34" t="s">
        <v>2115</v>
      </c>
    </row>
    <row r="247" spans="2:6" x14ac:dyDescent="0.4">
      <c r="B247" s="1" t="s">
        <v>1822</v>
      </c>
      <c r="C247" t="s">
        <v>2028</v>
      </c>
    </row>
    <row r="248" spans="2:6" x14ac:dyDescent="0.4">
      <c r="B248" s="1" t="s">
        <v>1961</v>
      </c>
      <c r="C248" t="s">
        <v>2016</v>
      </c>
    </row>
    <row r="249" spans="2:6" x14ac:dyDescent="0.4">
      <c r="B249" s="1" t="s">
        <v>1823</v>
      </c>
      <c r="C249" t="s">
        <v>1824</v>
      </c>
      <c r="D249" s="33" t="s">
        <v>2103</v>
      </c>
      <c r="E249" s="34" t="s">
        <v>2132</v>
      </c>
    </row>
    <row r="250" spans="2:6" x14ac:dyDescent="0.4">
      <c r="B250" s="1" t="s">
        <v>1962</v>
      </c>
      <c r="C250" t="s">
        <v>2538</v>
      </c>
      <c r="D250" s="33" t="s">
        <v>2539</v>
      </c>
      <c r="E250" s="34" t="s">
        <v>2132</v>
      </c>
    </row>
    <row r="251" spans="2:6" x14ac:dyDescent="0.4">
      <c r="B251" s="1" t="s">
        <v>1825</v>
      </c>
      <c r="C251" t="s">
        <v>462</v>
      </c>
    </row>
    <row r="252" spans="2:6" x14ac:dyDescent="0.4">
      <c r="B252" s="1" t="s">
        <v>1826</v>
      </c>
      <c r="C252" t="s">
        <v>1827</v>
      </c>
    </row>
    <row r="253" spans="2:6" x14ac:dyDescent="0.4">
      <c r="B253" s="1" t="s">
        <v>1828</v>
      </c>
      <c r="C253" t="s">
        <v>1829</v>
      </c>
      <c r="D253" s="33" t="s">
        <v>2078</v>
      </c>
      <c r="E253" s="34" t="s">
        <v>2111</v>
      </c>
    </row>
    <row r="254" spans="2:6" x14ac:dyDescent="0.4">
      <c r="B254" s="1" t="s">
        <v>1830</v>
      </c>
      <c r="C254" t="s">
        <v>1831</v>
      </c>
    </row>
    <row r="255" spans="2:6" x14ac:dyDescent="0.4">
      <c r="B255" s="1" t="s">
        <v>1832</v>
      </c>
      <c r="C255" t="s">
        <v>1833</v>
      </c>
    </row>
    <row r="256" spans="2:6" x14ac:dyDescent="0.4">
      <c r="B256" s="1" t="s">
        <v>1834</v>
      </c>
      <c r="C256" t="s">
        <v>1835</v>
      </c>
    </row>
    <row r="257" spans="2:6" x14ac:dyDescent="0.4">
      <c r="B257" s="1" t="s">
        <v>1963</v>
      </c>
      <c r="C257" t="s">
        <v>1836</v>
      </c>
      <c r="D257" s="33" t="s">
        <v>2081</v>
      </c>
      <c r="E257" s="34" t="s">
        <v>2111</v>
      </c>
    </row>
    <row r="258" spans="2:6" x14ac:dyDescent="0.4">
      <c r="B258" s="1" t="s">
        <v>1837</v>
      </c>
      <c r="C258" t="s">
        <v>1838</v>
      </c>
    </row>
    <row r="259" spans="2:6" x14ac:dyDescent="0.4">
      <c r="B259" s="1" t="s">
        <v>1964</v>
      </c>
      <c r="C259" t="s">
        <v>1839</v>
      </c>
      <c r="D259" s="33" t="s">
        <v>2083</v>
      </c>
      <c r="E259" s="34" t="s">
        <v>2111</v>
      </c>
    </row>
    <row r="260" spans="2:6" x14ac:dyDescent="0.4">
      <c r="B260" s="1" t="s">
        <v>1840</v>
      </c>
      <c r="C260" t="s">
        <v>417</v>
      </c>
      <c r="D260" s="33" t="s">
        <v>2158</v>
      </c>
      <c r="E260" s="34" t="s">
        <v>2134</v>
      </c>
      <c r="F260" s="32" t="s">
        <v>2131</v>
      </c>
    </row>
    <row r="261" spans="2:6" x14ac:dyDescent="0.4">
      <c r="B261" s="1" t="s">
        <v>1841</v>
      </c>
      <c r="C261" t="s">
        <v>1842</v>
      </c>
      <c r="D261" s="33" t="s">
        <v>2075</v>
      </c>
      <c r="E261" s="34" t="s">
        <v>2134</v>
      </c>
    </row>
    <row r="262" spans="2:6" x14ac:dyDescent="0.4">
      <c r="B262" s="1" t="s">
        <v>1843</v>
      </c>
      <c r="C262" t="s">
        <v>1844</v>
      </c>
      <c r="D262" s="33" t="s">
        <v>2104</v>
      </c>
      <c r="E262" s="34" t="s">
        <v>2132</v>
      </c>
    </row>
    <row r="263" spans="2:6" x14ac:dyDescent="0.4">
      <c r="B263" s="1" t="s">
        <v>1845</v>
      </c>
      <c r="C263" t="s">
        <v>1846</v>
      </c>
    </row>
    <row r="264" spans="2:6" x14ac:dyDescent="0.4">
      <c r="B264" s="1" t="s">
        <v>1847</v>
      </c>
      <c r="C264" t="s">
        <v>1848</v>
      </c>
    </row>
    <row r="265" spans="2:6" x14ac:dyDescent="0.4">
      <c r="B265" s="1" t="s">
        <v>1849</v>
      </c>
      <c r="C265" t="s">
        <v>1850</v>
      </c>
    </row>
    <row r="266" spans="2:6" x14ac:dyDescent="0.4">
      <c r="B266" s="1" t="s">
        <v>1851</v>
      </c>
      <c r="C266" t="s">
        <v>1852</v>
      </c>
    </row>
    <row r="267" spans="2:6" x14ac:dyDescent="0.4">
      <c r="B267" s="1" t="s">
        <v>1965</v>
      </c>
      <c r="C267" t="s">
        <v>1853</v>
      </c>
      <c r="D267" s="33" t="s">
        <v>2102</v>
      </c>
      <c r="E267" s="34" t="s">
        <v>2132</v>
      </c>
    </row>
    <row r="268" spans="2:6" x14ac:dyDescent="0.4">
      <c r="B268" s="1" t="s">
        <v>1854</v>
      </c>
      <c r="C268" t="s">
        <v>1990</v>
      </c>
    </row>
    <row r="269" spans="2:6" x14ac:dyDescent="0.4">
      <c r="B269" s="1" t="s">
        <v>1855</v>
      </c>
      <c r="C269" t="s">
        <v>1856</v>
      </c>
    </row>
    <row r="270" spans="2:6" x14ac:dyDescent="0.4">
      <c r="B270" s="1" t="s">
        <v>1857</v>
      </c>
      <c r="C270" t="s">
        <v>1858</v>
      </c>
    </row>
    <row r="271" spans="2:6" x14ac:dyDescent="0.4">
      <c r="B271" s="1" t="s">
        <v>1859</v>
      </c>
      <c r="C271" t="s">
        <v>1860</v>
      </c>
    </row>
    <row r="272" spans="2:6" x14ac:dyDescent="0.4">
      <c r="B272" s="1" t="s">
        <v>1861</v>
      </c>
      <c r="C272" t="s">
        <v>1862</v>
      </c>
    </row>
    <row r="273" spans="2:5" x14ac:dyDescent="0.4">
      <c r="B273" s="1" t="s">
        <v>1863</v>
      </c>
      <c r="C273" t="s">
        <v>1864</v>
      </c>
    </row>
    <row r="274" spans="2:5" x14ac:dyDescent="0.4">
      <c r="B274" s="1" t="s">
        <v>1865</v>
      </c>
      <c r="C274" t="s">
        <v>1866</v>
      </c>
    </row>
    <row r="275" spans="2:5" x14ac:dyDescent="0.4">
      <c r="B275" s="1" t="s">
        <v>430</v>
      </c>
      <c r="C275" t="s">
        <v>1867</v>
      </c>
    </row>
    <row r="276" spans="2:5" x14ac:dyDescent="0.4">
      <c r="B276" s="1" t="s">
        <v>1868</v>
      </c>
      <c r="C276" t="s">
        <v>1869</v>
      </c>
    </row>
    <row r="277" spans="2:5" x14ac:dyDescent="0.4">
      <c r="B277" s="1" t="s">
        <v>1870</v>
      </c>
      <c r="C277" t="s">
        <v>1871</v>
      </c>
      <c r="D277" s="33" t="s">
        <v>2082</v>
      </c>
      <c r="E277" s="34" t="s">
        <v>2111</v>
      </c>
    </row>
    <row r="278" spans="2:5" x14ac:dyDescent="0.4">
      <c r="B278" s="1" t="s">
        <v>1872</v>
      </c>
      <c r="C278" t="s">
        <v>1873</v>
      </c>
      <c r="D278" s="33" t="s">
        <v>2064</v>
      </c>
      <c r="E278" s="43" t="s">
        <v>2505</v>
      </c>
    </row>
    <row r="279" spans="2:5" x14ac:dyDescent="0.4">
      <c r="B279" s="1" t="s">
        <v>1874</v>
      </c>
      <c r="C279" t="s">
        <v>1875</v>
      </c>
      <c r="D279" s="33" t="s">
        <v>376</v>
      </c>
      <c r="E279" s="43" t="s">
        <v>2505</v>
      </c>
    </row>
    <row r="280" spans="2:5" x14ac:dyDescent="0.4">
      <c r="B280" s="1" t="s">
        <v>1876</v>
      </c>
      <c r="C280" t="s">
        <v>1420</v>
      </c>
    </row>
    <row r="281" spans="2:5" x14ac:dyDescent="0.4">
      <c r="B281" s="1" t="s">
        <v>1966</v>
      </c>
      <c r="C281" t="s">
        <v>1877</v>
      </c>
    </row>
    <row r="282" spans="2:5" x14ac:dyDescent="0.4">
      <c r="B282" s="1" t="s">
        <v>1878</v>
      </c>
      <c r="C282" t="s">
        <v>1879</v>
      </c>
    </row>
    <row r="283" spans="2:5" x14ac:dyDescent="0.4">
      <c r="B283" s="1" t="s">
        <v>1880</v>
      </c>
      <c r="C283" t="s">
        <v>1881</v>
      </c>
    </row>
    <row r="284" spans="2:5" x14ac:dyDescent="0.4">
      <c r="B284" s="1" t="s">
        <v>1882</v>
      </c>
      <c r="C284" t="s">
        <v>1883</v>
      </c>
    </row>
    <row r="285" spans="2:5" x14ac:dyDescent="0.4">
      <c r="B285" s="1" t="s">
        <v>1884</v>
      </c>
      <c r="C285" t="s">
        <v>1885</v>
      </c>
    </row>
    <row r="286" spans="2:5" x14ac:dyDescent="0.4">
      <c r="B286" s="1" t="s">
        <v>1886</v>
      </c>
      <c r="C286" t="s">
        <v>1887</v>
      </c>
    </row>
    <row r="287" spans="2:5" x14ac:dyDescent="0.4">
      <c r="B287" s="1" t="s">
        <v>1967</v>
      </c>
      <c r="C287" t="s">
        <v>1888</v>
      </c>
      <c r="D287" s="33" t="s">
        <v>2086</v>
      </c>
      <c r="E287" s="34" t="s">
        <v>2125</v>
      </c>
    </row>
    <row r="288" spans="2:5" x14ac:dyDescent="0.4">
      <c r="B288" s="1" t="s">
        <v>1889</v>
      </c>
      <c r="C288" t="s">
        <v>1890</v>
      </c>
    </row>
    <row r="289" spans="2:6" x14ac:dyDescent="0.4">
      <c r="B289" s="1" t="s">
        <v>1968</v>
      </c>
      <c r="C289" t="s">
        <v>1804</v>
      </c>
    </row>
    <row r="290" spans="2:6" x14ac:dyDescent="0.4">
      <c r="B290" s="1" t="s">
        <v>1969</v>
      </c>
      <c r="C290" t="s">
        <v>1891</v>
      </c>
    </row>
    <row r="291" spans="2:6" x14ac:dyDescent="0.4">
      <c r="B291" s="1" t="s">
        <v>1892</v>
      </c>
      <c r="C291" t="s">
        <v>1985</v>
      </c>
      <c r="D291" s="33" t="s">
        <v>2074</v>
      </c>
      <c r="E291" s="34" t="s">
        <v>2115</v>
      </c>
      <c r="F291" s="32" t="s">
        <v>2510</v>
      </c>
    </row>
    <row r="292" spans="2:6" x14ac:dyDescent="0.4">
      <c r="B292" s="1" t="s">
        <v>1970</v>
      </c>
      <c r="C292" t="s">
        <v>2049</v>
      </c>
      <c r="D292" s="33" t="s">
        <v>2077</v>
      </c>
      <c r="E292" s="34" t="s">
        <v>2111</v>
      </c>
      <c r="F292" s="34" t="s">
        <v>2134</v>
      </c>
    </row>
    <row r="293" spans="2:6" x14ac:dyDescent="0.4">
      <c r="B293" s="1" t="s">
        <v>1971</v>
      </c>
      <c r="C293" t="s">
        <v>2050</v>
      </c>
      <c r="D293" s="33" t="s">
        <v>2077</v>
      </c>
      <c r="E293" s="34" t="s">
        <v>2111</v>
      </c>
      <c r="F293" s="34" t="s">
        <v>2134</v>
      </c>
    </row>
    <row r="294" spans="2:6" x14ac:dyDescent="0.4">
      <c r="B294" s="1" t="s">
        <v>1972</v>
      </c>
      <c r="C294" t="s">
        <v>2047</v>
      </c>
    </row>
    <row r="295" spans="2:6" x14ac:dyDescent="0.4">
      <c r="B295" s="1" t="s">
        <v>286</v>
      </c>
      <c r="C295" t="s">
        <v>1975</v>
      </c>
      <c r="D295" s="33" t="s">
        <v>2148</v>
      </c>
    </row>
    <row r="296" spans="2:6" x14ac:dyDescent="0.4">
      <c r="B296" s="1" t="s">
        <v>1425</v>
      </c>
      <c r="C296" t="s">
        <v>1976</v>
      </c>
      <c r="D296" s="33" t="s">
        <v>2148</v>
      </c>
    </row>
    <row r="297" spans="2:6" x14ac:dyDescent="0.4">
      <c r="B297" s="1" t="s">
        <v>1973</v>
      </c>
      <c r="C297" t="s">
        <v>1974</v>
      </c>
    </row>
    <row r="298" spans="2:6" x14ac:dyDescent="0.4">
      <c r="B298" s="24" t="s">
        <v>1977</v>
      </c>
      <c r="C298" t="s">
        <v>1978</v>
      </c>
      <c r="D298" s="33" t="s">
        <v>2096</v>
      </c>
      <c r="E298" s="32" t="s">
        <v>2510</v>
      </c>
    </row>
    <row r="299" spans="2:6" x14ac:dyDescent="0.4">
      <c r="B299" s="1" t="s">
        <v>1979</v>
      </c>
      <c r="C299" t="s">
        <v>1980</v>
      </c>
      <c r="D299" s="33" t="s">
        <v>2084</v>
      </c>
      <c r="E299" s="34" t="s">
        <v>2118</v>
      </c>
    </row>
    <row r="300" spans="2:6" x14ac:dyDescent="0.4">
      <c r="B300" s="24" t="s">
        <v>1981</v>
      </c>
      <c r="C300" t="s">
        <v>1982</v>
      </c>
    </row>
    <row r="301" spans="2:6" x14ac:dyDescent="0.4">
      <c r="B301" s="18" t="s">
        <v>2001</v>
      </c>
      <c r="C301" t="s">
        <v>2002</v>
      </c>
      <c r="D301" s="33" t="s">
        <v>2147</v>
      </c>
    </row>
    <row r="302" spans="2:6" x14ac:dyDescent="0.4">
      <c r="B302" s="18" t="s">
        <v>1983</v>
      </c>
      <c r="C302" t="s">
        <v>1984</v>
      </c>
      <c r="D302" s="33" t="s">
        <v>2079</v>
      </c>
      <c r="E302" s="34" t="s">
        <v>2111</v>
      </c>
    </row>
    <row r="303" spans="2:6" x14ac:dyDescent="0.4">
      <c r="B303" s="18" t="s">
        <v>1986</v>
      </c>
      <c r="C303" t="s">
        <v>1989</v>
      </c>
      <c r="D303" s="33" t="s">
        <v>2069</v>
      </c>
      <c r="E303" s="34" t="s">
        <v>2142</v>
      </c>
    </row>
    <row r="304" spans="2:6" x14ac:dyDescent="0.4">
      <c r="B304" s="26" t="s">
        <v>1987</v>
      </c>
      <c r="C304" t="s">
        <v>1988</v>
      </c>
      <c r="D304" s="33" t="s">
        <v>2069</v>
      </c>
      <c r="E304" s="34" t="s">
        <v>2142</v>
      </c>
    </row>
    <row r="305" spans="2:6" x14ac:dyDescent="0.4">
      <c r="B305" s="1" t="s">
        <v>1993</v>
      </c>
      <c r="C305" t="s">
        <v>1994</v>
      </c>
      <c r="D305" s="33" t="s">
        <v>2071</v>
      </c>
      <c r="E305" s="34" t="s">
        <v>2119</v>
      </c>
    </row>
    <row r="306" spans="2:6" x14ac:dyDescent="0.4">
      <c r="B306" s="1" t="s">
        <v>1996</v>
      </c>
      <c r="C306" t="s">
        <v>1997</v>
      </c>
      <c r="D306" s="33" t="s">
        <v>2095</v>
      </c>
      <c r="E306" s="32" t="s">
        <v>2510</v>
      </c>
    </row>
    <row r="307" spans="2:6" x14ac:dyDescent="0.4">
      <c r="B307" s="1" t="s">
        <v>2003</v>
      </c>
      <c r="C307" t="s">
        <v>2004</v>
      </c>
      <c r="D307" s="33" t="s">
        <v>2065</v>
      </c>
      <c r="E307" s="34" t="s">
        <v>2120</v>
      </c>
      <c r="F307" s="32" t="s">
        <v>2133</v>
      </c>
    </row>
    <row r="308" spans="2:6" x14ac:dyDescent="0.4">
      <c r="B308" s="27" t="s">
        <v>2007</v>
      </c>
      <c r="C308" t="s">
        <v>2008</v>
      </c>
      <c r="D308" s="33" t="s">
        <v>2066</v>
      </c>
      <c r="E308" s="34" t="s">
        <v>2121</v>
      </c>
    </row>
    <row r="309" spans="2:6" x14ac:dyDescent="0.4">
      <c r="B309" s="1" t="s">
        <v>2009</v>
      </c>
      <c r="C309" t="s">
        <v>2010</v>
      </c>
      <c r="D309" s="33" t="s">
        <v>2107</v>
      </c>
      <c r="E309" s="34" t="s">
        <v>2122</v>
      </c>
    </row>
    <row r="310" spans="2:6" x14ac:dyDescent="0.4">
      <c r="B310" s="1" t="s">
        <v>2011</v>
      </c>
      <c r="C310" t="s">
        <v>2012</v>
      </c>
      <c r="D310" s="33" t="s">
        <v>2108</v>
      </c>
      <c r="E310" s="34" t="s">
        <v>2122</v>
      </c>
    </row>
    <row r="311" spans="2:6" x14ac:dyDescent="0.4">
      <c r="B311" s="1" t="s">
        <v>2019</v>
      </c>
      <c r="C311" t="s">
        <v>2020</v>
      </c>
      <c r="D311" s="33" t="s">
        <v>2094</v>
      </c>
      <c r="E311" s="34" t="s">
        <v>2123</v>
      </c>
    </row>
    <row r="312" spans="2:6" x14ac:dyDescent="0.4">
      <c r="B312" s="1" t="s">
        <v>2021</v>
      </c>
      <c r="C312" t="s">
        <v>2179</v>
      </c>
      <c r="D312" s="33" t="s">
        <v>2181</v>
      </c>
      <c r="E312" s="34" t="s">
        <v>2123</v>
      </c>
    </row>
    <row r="313" spans="2:6" x14ac:dyDescent="0.4">
      <c r="B313" s="1" t="s">
        <v>2022</v>
      </c>
      <c r="C313" t="s">
        <v>2180</v>
      </c>
      <c r="D313" s="33" t="s">
        <v>2181</v>
      </c>
      <c r="E313" s="34" t="s">
        <v>2123</v>
      </c>
    </row>
    <row r="314" spans="2:6" x14ac:dyDescent="0.4">
      <c r="B314" s="1" t="s">
        <v>2027</v>
      </c>
      <c r="C314" t="s">
        <v>2023</v>
      </c>
      <c r="D314" s="33" t="s">
        <v>2092</v>
      </c>
      <c r="E314" s="34" t="s">
        <v>2124</v>
      </c>
    </row>
    <row r="315" spans="2:6" x14ac:dyDescent="0.4">
      <c r="B315" s="1" t="s">
        <v>153</v>
      </c>
      <c r="C315" t="s">
        <v>2026</v>
      </c>
      <c r="D315" s="33" t="s">
        <v>2093</v>
      </c>
      <c r="E315" s="34" t="s">
        <v>2123</v>
      </c>
    </row>
    <row r="316" spans="2:6" x14ac:dyDescent="0.4">
      <c r="B316" s="1" t="s">
        <v>2024</v>
      </c>
      <c r="C316" t="s">
        <v>2025</v>
      </c>
      <c r="D316" s="33" t="s">
        <v>2093</v>
      </c>
      <c r="E316" s="34" t="s">
        <v>2123</v>
      </c>
    </row>
    <row r="317" spans="2:6" x14ac:dyDescent="0.4">
      <c r="B317" s="1" t="s">
        <v>2038</v>
      </c>
      <c r="C317" t="s">
        <v>2039</v>
      </c>
      <c r="D317" s="33" t="s">
        <v>2098</v>
      </c>
      <c r="E317" s="34" t="s">
        <v>2537</v>
      </c>
      <c r="F317" s="32" t="s">
        <v>2117</v>
      </c>
    </row>
    <row r="318" spans="2:6" x14ac:dyDescent="0.4">
      <c r="B318" s="1" t="s">
        <v>2040</v>
      </c>
      <c r="C318" t="s">
        <v>2041</v>
      </c>
      <c r="D318" s="33" t="s">
        <v>2099</v>
      </c>
      <c r="E318" s="34" t="s">
        <v>2537</v>
      </c>
    </row>
    <row r="319" spans="2:6" x14ac:dyDescent="0.4">
      <c r="B319" s="1" t="s">
        <v>2042</v>
      </c>
      <c r="C319" t="s">
        <v>2051</v>
      </c>
      <c r="D319" s="33" t="s">
        <v>2101</v>
      </c>
      <c r="E319" s="34" t="s">
        <v>2537</v>
      </c>
      <c r="F319" s="32" t="s">
        <v>2117</v>
      </c>
    </row>
    <row r="320" spans="2:6" x14ac:dyDescent="0.4">
      <c r="B320" s="30" t="s">
        <v>822</v>
      </c>
      <c r="C320" t="s">
        <v>2046</v>
      </c>
      <c r="D320" s="33" t="s">
        <v>2146</v>
      </c>
      <c r="E320" s="32" t="s">
        <v>2117</v>
      </c>
    </row>
    <row r="321" spans="1:7" x14ac:dyDescent="0.4">
      <c r="B321" s="1" t="s">
        <v>2043</v>
      </c>
      <c r="C321" t="s">
        <v>2044</v>
      </c>
      <c r="D321" s="33" t="s">
        <v>2100</v>
      </c>
      <c r="E321" s="34" t="s">
        <v>2537</v>
      </c>
    </row>
    <row r="322" spans="1:7" x14ac:dyDescent="0.4">
      <c r="B322" s="1" t="s">
        <v>1094</v>
      </c>
      <c r="C322" t="s">
        <v>2545</v>
      </c>
      <c r="D322" s="33" t="s">
        <v>2143</v>
      </c>
      <c r="E322" s="34" t="s">
        <v>2537</v>
      </c>
      <c r="F322" s="32" t="s">
        <v>2117</v>
      </c>
    </row>
    <row r="323" spans="1:7" x14ac:dyDescent="0.4">
      <c r="B323" s="1" t="s">
        <v>296</v>
      </c>
      <c r="C323" t="s">
        <v>2543</v>
      </c>
      <c r="D323" s="33" t="s">
        <v>2159</v>
      </c>
      <c r="E323" s="34" t="s">
        <v>2537</v>
      </c>
      <c r="F323" s="32" t="s">
        <v>2117</v>
      </c>
      <c r="G323" s="32" t="s">
        <v>2155</v>
      </c>
    </row>
    <row r="324" spans="1:7" x14ac:dyDescent="0.4">
      <c r="B324" s="1" t="s">
        <v>1999</v>
      </c>
      <c r="C324" t="s">
        <v>2163</v>
      </c>
      <c r="D324" s="33" t="s">
        <v>2165</v>
      </c>
      <c r="E324" s="34" t="s">
        <v>2111</v>
      </c>
      <c r="F324" s="34" t="s">
        <v>2132</v>
      </c>
    </row>
    <row r="325" spans="1:7" x14ac:dyDescent="0.4">
      <c r="B325" s="1" t="s">
        <v>2000</v>
      </c>
      <c r="C325" t="s">
        <v>2164</v>
      </c>
      <c r="D325" s="33" t="s">
        <v>2165</v>
      </c>
      <c r="E325" s="34" t="s">
        <v>2111</v>
      </c>
      <c r="F325" s="34" t="s">
        <v>2132</v>
      </c>
    </row>
    <row r="326" spans="1:7" x14ac:dyDescent="0.4">
      <c r="B326" s="1" t="s">
        <v>2017</v>
      </c>
      <c r="C326" t="s">
        <v>2546</v>
      </c>
      <c r="D326" s="33" t="s">
        <v>2501</v>
      </c>
      <c r="E326" s="34" t="s">
        <v>2116</v>
      </c>
    </row>
    <row r="327" spans="1:7" x14ac:dyDescent="0.4">
      <c r="B327" s="1" t="s">
        <v>1998</v>
      </c>
      <c r="C327" t="s">
        <v>2547</v>
      </c>
      <c r="D327" s="33" t="s">
        <v>2500</v>
      </c>
      <c r="E327" s="34" t="s">
        <v>2115</v>
      </c>
      <c r="F327" s="32" t="s">
        <v>2510</v>
      </c>
    </row>
    <row r="328" spans="1:7" x14ac:dyDescent="0.4">
      <c r="B328" s="1" t="s">
        <v>407</v>
      </c>
      <c r="C328" t="s">
        <v>2548</v>
      </c>
      <c r="D328" s="33" t="s">
        <v>2502</v>
      </c>
      <c r="E328" s="34" t="s">
        <v>2537</v>
      </c>
    </row>
    <row r="329" spans="1:7" x14ac:dyDescent="0.4">
      <c r="B329" s="1" t="s">
        <v>160</v>
      </c>
      <c r="C329" s="41" t="s">
        <v>2549</v>
      </c>
      <c r="D329" s="42" t="s">
        <v>2503</v>
      </c>
      <c r="E329" s="43" t="s">
        <v>2505</v>
      </c>
    </row>
    <row r="330" spans="1:7" x14ac:dyDescent="0.4">
      <c r="B330" s="1" t="s">
        <v>1103</v>
      </c>
      <c r="C330" t="s">
        <v>2544</v>
      </c>
      <c r="D330" s="33" t="s">
        <v>2504</v>
      </c>
      <c r="E330" s="43" t="s">
        <v>2505</v>
      </c>
    </row>
    <row r="331" spans="1:7" x14ac:dyDescent="0.4">
      <c r="A331" t="s">
        <v>1896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</hyperlinks>
  <pageMargins left="0.7" right="0.7" top="0.75" bottom="0.75" header="0.3" footer="0.3"/>
  <pageSetup paperSize="9" orientation="portrait" r:id="rId10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:C1048576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1897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 xml:space="preserve"> 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 ")</f>
        <v xml:space="preserve"> 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 xml:space="preserve"> </v>
      </c>
      <c r="AH4" s="7" t="s">
        <v>160</v>
      </c>
      <c r="AI4" s="6" t="str">
        <f>_xlfn.XLOOKUP(AH4,対応表!$B:$B,対応表!$C:$C," ")</f>
        <v>佁??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捌?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音?</v>
      </c>
      <c r="V6" s="7" t="s">
        <v>296</v>
      </c>
      <c r="W6" s="6" t="str">
        <f>_xlfn.XLOOKUP(V6,対応表!$B:$B,対応表!$C:$C," ")</f>
        <v>介??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 xml:space="preserve"> 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377</v>
      </c>
      <c r="AO7" s="6" t="str">
        <f>_xlfn.XLOOKUP(AN7,対応表!$B:$B,対応表!$C:$C," ")</f>
        <v xml:space="preserve"> </v>
      </c>
      <c r="AP7" s="17" t="s">
        <v>378</v>
      </c>
      <c r="AQ7" s="6" t="str">
        <f>_xlfn.XLOOKUP(AP7,対応表!$B:$B,対応表!$C:$C," ")</f>
        <v>ぇ</v>
      </c>
      <c r="AR7" s="7" t="s">
        <v>379</v>
      </c>
      <c r="AS7" s="6" t="str">
        <f>_xlfn.XLOOKUP(AR7,対応表!$B:$B,対応表!$C:$C," ")</f>
        <v xml:space="preserve"> </v>
      </c>
      <c r="AT7" s="7" t="s">
        <v>380</v>
      </c>
      <c r="AU7" s="6" t="str">
        <f>_xlfn.XLOOKUP(AT7,対応表!$B:$B,対応表!$C:$C," ")</f>
        <v xml:space="preserve"> </v>
      </c>
      <c r="AV7" s="17" t="s">
        <v>381</v>
      </c>
      <c r="AW7" s="6" t="str">
        <f>_xlfn.XLOOKUP(AV7,対応表!$B:$B,対応表!$C:$C," ")</f>
        <v xml:space="preserve"> </v>
      </c>
      <c r="AX7" s="7" t="s">
        <v>382</v>
      </c>
      <c r="AY7" s="6" t="str">
        <f>_xlfn.XLOOKUP(AX7,対応表!$B:$B,対応表!$C:$C," ")</f>
        <v xml:space="preserve"> </v>
      </c>
      <c r="AZ7" s="7" t="s">
        <v>383</v>
      </c>
      <c r="BA7" s="6" t="str">
        <f>_xlfn.XLOOKUP(AZ7,対応表!$B:$B,対応表!$C:$C," ")</f>
        <v xml:space="preserve"> </v>
      </c>
      <c r="BB7" s="7" t="s">
        <v>384</v>
      </c>
      <c r="BC7" s="6" t="str">
        <f>_xlfn.XLOOKUP(BB7,対応表!$B:$B,対応表!$C:$C," ")</f>
        <v xml:space="preserve"> </v>
      </c>
      <c r="BD7" s="7" t="s">
        <v>385</v>
      </c>
      <c r="BE7" s="6" t="str">
        <f>_xlfn.XLOOKUP(BD7,対応表!$B:$B,対応表!$C:$C," ")</f>
        <v>養</v>
      </c>
      <c r="BF7" s="7" t="s">
        <v>386</v>
      </c>
      <c r="BG7" s="6" t="str">
        <f>_xlfn.XLOOKUP(BF7,対応表!$B:$B,対応表!$C:$C," ")</f>
        <v xml:space="preserve"> </v>
      </c>
      <c r="BH7" s="7" t="s">
        <v>387</v>
      </c>
      <c r="BI7" s="6" t="str">
        <f>_xlfn.XLOOKUP(BH7,対応表!$B:$B,対応表!$C:$C," ")</f>
        <v xml:space="preserve"> </v>
      </c>
      <c r="BJ7" s="7" t="s">
        <v>388</v>
      </c>
      <c r="BK7" s="6" t="str">
        <f>_xlfn.XLOOKUP(BJ7,対応表!$B:$B,対応表!$C:$C," ")</f>
        <v xml:space="preserve"> </v>
      </c>
      <c r="BL7" s="7" t="s">
        <v>389</v>
      </c>
      <c r="BM7" s="6" t="str">
        <f>_xlfn.XLOOKUP(BL7,対応表!$B:$B,対応表!$C:$C," ")</f>
        <v xml:space="preserve"> </v>
      </c>
      <c r="BN7" s="7" t="s">
        <v>390</v>
      </c>
      <c r="BO7" s="6" t="str">
        <f>_xlfn.XLOOKUP(BN7,対応表!$B:$B,対応表!$C:$C," ")</f>
        <v xml:space="preserve"> </v>
      </c>
      <c r="BP7" s="7" t="s">
        <v>391</v>
      </c>
      <c r="BQ7" s="6" t="str">
        <f>_xlfn.XLOOKUP(BP7,対応表!$B:$B,対応表!$C:$C," ")</f>
        <v xml:space="preserve"> </v>
      </c>
      <c r="BR7" s="7" t="s">
        <v>392</v>
      </c>
      <c r="BS7" s="6" t="str">
        <f>_xlfn.XLOOKUP(BR7,対応表!$B:$B,対応表!$C:$C," ")</f>
        <v xml:space="preserve"> </v>
      </c>
      <c r="BT7" s="7" t="s">
        <v>393</v>
      </c>
      <c r="BU7" s="6" t="str">
        <f>_xlfn.XLOOKUP(BT7,対応表!$B:$B,対応表!$C:$C," ")</f>
        <v xml:space="preserve"> </v>
      </c>
      <c r="BV7" s="7" t="s">
        <v>394</v>
      </c>
      <c r="BW7" s="6" t="str">
        <f>_xlfn.XLOOKUP(BV7,対応表!$B:$B,対応表!$C:$C," ")</f>
        <v xml:space="preserve"> </v>
      </c>
      <c r="BX7" s="7" t="s">
        <v>395</v>
      </c>
      <c r="BY7" s="6" t="str">
        <f>_xlfn.XLOOKUP(BX7,対応表!$B:$B,対応表!$C:$C," ")</f>
        <v xml:space="preserve"> </v>
      </c>
      <c r="BZ7" s="7" t="s">
        <v>396</v>
      </c>
      <c r="CA7" s="6" t="str">
        <f>_xlfn.XLOOKUP(BZ7,対応表!$B:$B,対応表!$C:$C," ")</f>
        <v xml:space="preserve"> </v>
      </c>
      <c r="CB7" s="7" t="s">
        <v>397</v>
      </c>
      <c r="CC7" s="6" t="str">
        <f>_xlfn.XLOOKUP(CB7,対応表!$B:$B,対応表!$C:$C," ")</f>
        <v xml:space="preserve"> </v>
      </c>
      <c r="CD7" s="7" t="s">
        <v>398</v>
      </c>
      <c r="CE7" s="6" t="str">
        <f>_xlfn.XLOOKUP(CD7,対応表!$B:$B,対応表!$C:$C," ")</f>
        <v xml:space="preserve"> </v>
      </c>
      <c r="CF7" s="7" t="s">
        <v>399</v>
      </c>
      <c r="CG7" s="6" t="str">
        <f>_xlfn.XLOOKUP(CF7,対応表!$B:$B,対応表!$C:$C," ")</f>
        <v xml:space="preserve"> </v>
      </c>
      <c r="CH7" s="7" t="s">
        <v>400</v>
      </c>
      <c r="CI7" s="6" t="str">
        <f>_xlfn.XLOOKUP(CH7,対応表!$B:$B,対応表!$C:$C," ")</f>
        <v xml:space="preserve"> </v>
      </c>
      <c r="CJ7" s="17" t="s">
        <v>401</v>
      </c>
      <c r="CK7" s="6" t="str">
        <f>_xlfn.XLOOKUP(CJ7,対応表!$B:$B,対応表!$C:$C," ")</f>
        <v xml:space="preserve"> </v>
      </c>
      <c r="CL7" s="7" t="s">
        <v>402</v>
      </c>
      <c r="CM7" s="6" t="str">
        <f>_xlfn.XLOOKUP(CL7,対応表!$B:$B,対応表!$C:$C," ")</f>
        <v xml:space="preserve"> </v>
      </c>
      <c r="CN7" s="7" t="s">
        <v>403</v>
      </c>
      <c r="CO7" s="6" t="str">
        <f>_xlfn.XLOOKUP(CN7,対応表!$B:$B,対応表!$C:$C," ")</f>
        <v xml:space="preserve"> </v>
      </c>
      <c r="CP7" s="7" t="s">
        <v>404</v>
      </c>
      <c r="CQ7" s="6" t="str">
        <f>_xlfn.XLOOKUP(CP7,対応表!$B:$B,対応表!$C:$C," ")</f>
        <v xml:space="preserve"> </v>
      </c>
      <c r="CR7" s="7" t="s">
        <v>405</v>
      </c>
      <c r="CS7" s="6" t="str">
        <f>_xlfn.XLOOKUP(CR7,対応表!$B:$B,対応表!$C:$C," ")</f>
        <v xml:space="preserve"> </v>
      </c>
      <c r="CT7" s="7" t="s">
        <v>406</v>
      </c>
      <c r="CU7" s="6" t="str">
        <f>_xlfn.XLOOKUP(CT7,対応表!$B:$B,対応表!$C:$C," ")</f>
        <v>房?</v>
      </c>
      <c r="CV7" s="7" t="s">
        <v>407</v>
      </c>
      <c r="CW7" s="6" t="str">
        <f>_xlfn.XLOOKUP(CV7,対応表!$B:$B,対応表!$C:$C," ")</f>
        <v>凘??</v>
      </c>
      <c r="CX7" s="7" t="s">
        <v>408</v>
      </c>
      <c r="CY7" s="6" t="str">
        <f>_xlfn.XLOOKUP(CX7,対応表!$B:$B,対応表!$C:$C," ")</f>
        <v xml:space="preserve"> </v>
      </c>
      <c r="CZ7" s="7" t="s">
        <v>409</v>
      </c>
      <c r="DA7" s="6" t="str">
        <f>_xlfn.XLOOKUP(CZ7,対応表!$B:$B,対応表!$C:$C," ")</f>
        <v xml:space="preserve"> </v>
      </c>
      <c r="DB7" s="17" t="s">
        <v>410</v>
      </c>
      <c r="DC7" s="6" t="str">
        <f>_xlfn.XLOOKUP(DB7,対応表!$B:$B,対応表!$C:$C," ")</f>
        <v xml:space="preserve"> </v>
      </c>
      <c r="DD7" s="7" t="s">
        <v>411</v>
      </c>
      <c r="DE7" s="6" t="str">
        <f>_xlfn.XLOOKUP(DD7,対応表!$B:$B,対応表!$C:$C," ")</f>
        <v xml:space="preserve"> </v>
      </c>
      <c r="DF7" s="7" t="s">
        <v>412</v>
      </c>
      <c r="DG7" s="6" t="str">
        <f>_xlfn.XLOOKUP(DF7,対応表!$B:$B,対応表!$C:$C," ")</f>
        <v xml:space="preserve"> </v>
      </c>
      <c r="DH7" s="7" t="s">
        <v>413</v>
      </c>
      <c r="DI7" s="6" t="str">
        <f>_xlfn.XLOOKUP(DH7,対応表!$B:$B,対応表!$C:$C," ")</f>
        <v xml:space="preserve"> </v>
      </c>
      <c r="DJ7" s="7" t="s">
        <v>414</v>
      </c>
      <c r="DK7" s="6" t="str">
        <f>_xlfn.XLOOKUP(DJ7,対応表!$B:$B,対応表!$C:$C," ")</f>
        <v xml:space="preserve"> </v>
      </c>
      <c r="DL7" s="7" t="s">
        <v>415</v>
      </c>
      <c r="DM7" s="6" t="str">
        <f>_xlfn.XLOOKUP(DL7,対応表!$B:$B,対応表!$C:$C," ")</f>
        <v>文?</v>
      </c>
      <c r="DN7" s="7" t="s">
        <v>416</v>
      </c>
      <c r="DO7" s="6" t="str">
        <f>_xlfn.XLOOKUP(DN7,対応表!$B:$B,対応表!$C:$C," ")</f>
        <v xml:space="preserve"> </v>
      </c>
      <c r="DP7" s="7" t="s">
        <v>417</v>
      </c>
      <c r="DQ7" s="6" t="str">
        <f>_xlfn.XLOOKUP(DP7,対応表!$B:$B,対応表!$C:$C," ")</f>
        <v xml:space="preserve"> </v>
      </c>
      <c r="DR7" s="7" t="s">
        <v>418</v>
      </c>
      <c r="DS7" s="6" t="str">
        <f>_xlfn.XLOOKUP(DR7,対応表!$B:$B,対応表!$C:$C," ")</f>
        <v xml:space="preserve"> </v>
      </c>
      <c r="DT7" s="7" t="s">
        <v>419</v>
      </c>
      <c r="DU7" s="6" t="str">
        <f>_xlfn.XLOOKUP(DT7,対応表!$B:$B,対応表!$C:$C," ")</f>
        <v xml:space="preserve"> </v>
      </c>
      <c r="DV7" s="7" t="s">
        <v>420</v>
      </c>
      <c r="DW7" s="6" t="str">
        <f>_xlfn.XLOOKUP(DV7,対応表!$B:$B,対応表!$C:$C," ")</f>
        <v>訪</v>
      </c>
      <c r="DX7" s="7" t="s">
        <v>421</v>
      </c>
      <c r="DY7" s="6" t="str">
        <f>_xlfn.XLOOKUP(DX7,対応表!$B:$B,対応表!$C:$C," ")</f>
        <v xml:space="preserve"> </v>
      </c>
      <c r="DZ7" s="7" t="s">
        <v>422</v>
      </c>
      <c r="EA7" s="6" t="str">
        <f>_xlfn.XLOOKUP(DZ7,対応表!$B:$B,対応表!$C:$C," ")</f>
        <v>選</v>
      </c>
      <c r="EB7" s="7" t="s">
        <v>423</v>
      </c>
      <c r="EC7" s="6" t="str">
        <f>_xlfn.XLOOKUP(EB7,対応表!$B:$B,対応表!$C:$C," ")</f>
        <v xml:space="preserve"> </v>
      </c>
      <c r="ED7" s="7" t="s">
        <v>424</v>
      </c>
      <c r="EE7" s="6" t="str">
        <f>_xlfn.XLOOKUP(ED7,対応表!$B:$B,対応表!$C:$C," ")</f>
        <v xml:space="preserve"> </v>
      </c>
      <c r="EF7" s="17" t="s">
        <v>425</v>
      </c>
      <c r="EG7" s="6" t="str">
        <f>_xlfn.XLOOKUP(EF7,対応表!$B:$B,対応表!$C:$C," ")</f>
        <v xml:space="preserve"> </v>
      </c>
      <c r="EH7" s="7" t="s">
        <v>426</v>
      </c>
      <c r="EI7" s="6" t="str">
        <f>_xlfn.XLOOKUP(EH7,対応表!$B:$B,対応表!$C:$C," ")</f>
        <v xml:space="preserve"> </v>
      </c>
      <c r="EJ7" s="7" t="s">
        <v>427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428</v>
      </c>
      <c r="B8" s="7" t="s">
        <v>429</v>
      </c>
      <c r="C8" s="6" t="str">
        <f>_xlfn.XLOOKUP(B8,対応表!$B:$B,対応表!$C:$C," ")</f>
        <v>記</v>
      </c>
      <c r="D8" s="7" t="s">
        <v>430</v>
      </c>
      <c r="E8" s="6" t="str" cm="1">
        <f t="array" ref="E8">_xlfn.XLOOKUP(D8,対応表!$B:B,対応表!$C:C," ")</f>
        <v>言</v>
      </c>
      <c r="F8" s="7" t="s">
        <v>431</v>
      </c>
      <c r="G8" s="6" t="str">
        <f>_xlfn.XLOOKUP(F8,対応表!$B:$B,対応表!$C:$C," ")</f>
        <v xml:space="preserve"> </v>
      </c>
      <c r="H8" s="7" t="s">
        <v>432</v>
      </c>
      <c r="I8" s="6" t="str">
        <f>_xlfn.XLOOKUP(H8,対応表!$B:$B,対応表!$C:$C," ")</f>
        <v xml:space="preserve"> </v>
      </c>
      <c r="J8" s="7" t="s">
        <v>433</v>
      </c>
      <c r="K8" s="6" t="str">
        <f>_xlfn.XLOOKUP(J8,対応表!$B:$B,対応表!$C:$C," ")</f>
        <v xml:space="preserve"> </v>
      </c>
      <c r="L8" s="7" t="s">
        <v>434</v>
      </c>
      <c r="M8" s="6" t="str">
        <f>_xlfn.XLOOKUP(L8,対応表!$B:$B,対応表!$C:$C," ")</f>
        <v>取</v>
      </c>
      <c r="N8" s="7" t="s">
        <v>435</v>
      </c>
      <c r="O8" s="6" t="str">
        <f>_xlfn.XLOOKUP(N8,対応表!$B:$B,対応表!$C:$C," ")</f>
        <v xml:space="preserve"> </v>
      </c>
      <c r="P8" s="7" t="s">
        <v>436</v>
      </c>
      <c r="Q8" s="6" t="str">
        <f>_xlfn.XLOOKUP(P8,対応表!$B:$B,対応表!$C:$C," ")</f>
        <v>出</v>
      </c>
      <c r="R8" s="7" t="s">
        <v>437</v>
      </c>
      <c r="S8" s="6" t="str">
        <f>_xlfn.XLOOKUP(R8,対応表!$B:$B,対応表!$C:$C," ")</f>
        <v xml:space="preserve"> </v>
      </c>
      <c r="T8" s="7" t="s">
        <v>438</v>
      </c>
      <c r="U8" s="6" t="str">
        <f>_xlfn.XLOOKUP(T8,対応表!$B:$B,対応表!$C:$C," ")</f>
        <v xml:space="preserve"> </v>
      </c>
      <c r="V8" s="7" t="s">
        <v>439</v>
      </c>
      <c r="W8" s="6" t="str">
        <f>_xlfn.XLOOKUP(V8,対応表!$B:$B,対応表!$C:$C," ")</f>
        <v xml:space="preserve"> </v>
      </c>
      <c r="X8" s="7" t="s">
        <v>440</v>
      </c>
      <c r="Y8" s="6" t="str">
        <f>_xlfn.XLOOKUP(X8,対応表!$B:$B,対応表!$C:$C," ")</f>
        <v>終</v>
      </c>
      <c r="Z8" s="7" t="s">
        <v>441</v>
      </c>
      <c r="AA8" s="6" t="str">
        <f>_xlfn.XLOOKUP(Z8,対応表!$B:$B,対応表!$C:$C," ")</f>
        <v xml:space="preserve"> </v>
      </c>
      <c r="AB8" s="7" t="s">
        <v>442</v>
      </c>
      <c r="AC8" s="6" t="str">
        <f>_xlfn.XLOOKUP(AB8,対応表!$B:$B,対応表!$C:$C," ")</f>
        <v xml:space="preserve"> </v>
      </c>
      <c r="AD8" s="7" t="s">
        <v>443</v>
      </c>
      <c r="AE8" s="6" t="str">
        <f>_xlfn.XLOOKUP(AD8,対応表!$B:$B,対応表!$C:$C," ")</f>
        <v xml:space="preserve"> </v>
      </c>
      <c r="AF8" s="7" t="s">
        <v>444</v>
      </c>
      <c r="AG8" s="6" t="str">
        <f>_xlfn.XLOOKUP(AF8,対応表!$B:$B,対応表!$C:$C," ")</f>
        <v xml:space="preserve"> </v>
      </c>
      <c r="AH8" s="7" t="s">
        <v>445</v>
      </c>
      <c r="AI8" s="6" t="str">
        <f>_xlfn.XLOOKUP(AH8,対応表!$B:$B,対応表!$C:$C," ")</f>
        <v xml:space="preserve"> </v>
      </c>
      <c r="AJ8" s="7" t="s">
        <v>446</v>
      </c>
      <c r="AK8" s="6" t="str">
        <f>_xlfn.XLOOKUP(AJ8,対応表!$B:$B,対応表!$C:$C," ")</f>
        <v xml:space="preserve"> </v>
      </c>
      <c r="AL8" s="7" t="s">
        <v>447</v>
      </c>
      <c r="AM8" s="6" t="str">
        <f>_xlfn.XLOOKUP(AL8,対応表!$B:$B,対応表!$C:$C,"に")</f>
        <v>に</v>
      </c>
      <c r="AN8" s="7" t="s">
        <v>448</v>
      </c>
      <c r="AO8" s="6" t="str">
        <f>_xlfn.XLOOKUP(AN8,対応表!$B:$B,対応表!$C:$C," ")</f>
        <v>止?</v>
      </c>
      <c r="AP8" s="7" t="s">
        <v>449</v>
      </c>
      <c r="AQ8" s="6" t="str">
        <f>_xlfn.XLOOKUP(AP8,対応表!$B:$B,対応表!$C:$C," ")</f>
        <v>ん</v>
      </c>
      <c r="AR8" s="7" t="s">
        <v>450</v>
      </c>
      <c r="AS8" s="6" t="str">
        <f>_xlfn.XLOOKUP(AR8,対応表!$B:$B,対応表!$C:$C," ")</f>
        <v xml:space="preserve"> </v>
      </c>
      <c r="AT8" s="7" t="s">
        <v>451</v>
      </c>
      <c r="AU8" s="6" t="str">
        <f>_xlfn.XLOOKUP(AT8,対応表!$B:$B,対応表!$C:$C," ")</f>
        <v xml:space="preserve"> </v>
      </c>
      <c r="AV8" s="7" t="s">
        <v>452</v>
      </c>
      <c r="AW8" s="6" t="str">
        <f>_xlfn.XLOOKUP(AV8,対応表!$B:$B,対応表!$C:$C," ")</f>
        <v xml:space="preserve"> </v>
      </c>
      <c r="AX8" s="7" t="s">
        <v>453</v>
      </c>
      <c r="AY8" s="6" t="str">
        <f>_xlfn.XLOOKUP(AX8,対応表!$B:$B,対応表!$C:$C," ")</f>
        <v>ぐ</v>
      </c>
      <c r="AZ8" s="7" t="s">
        <v>454</v>
      </c>
      <c r="BA8" s="6" t="str">
        <f>_xlfn.XLOOKUP(AZ8,対応表!$B:$B,対応表!$C:$C," ")</f>
        <v>道</v>
      </c>
      <c r="BB8" s="7" t="s">
        <v>455</v>
      </c>
      <c r="BC8" s="6" t="str">
        <f>_xlfn.XLOOKUP(BB8,対応表!$B:$B,対応表!$C:$C," ")</f>
        <v xml:space="preserve"> </v>
      </c>
      <c r="BD8" s="7" t="s">
        <v>456</v>
      </c>
      <c r="BE8" s="6" t="str">
        <f>_xlfn.XLOOKUP(BD8,対応表!$B:$B,対応表!$C:$C," ")</f>
        <v xml:space="preserve"> </v>
      </c>
      <c r="BF8" s="7" t="s">
        <v>457</v>
      </c>
      <c r="BG8" s="6" t="str">
        <f>_xlfn.XLOOKUP(BF8,対応表!$B:$B,対応表!$C:$C," ")</f>
        <v xml:space="preserve"> </v>
      </c>
      <c r="BH8" s="7" t="s">
        <v>458</v>
      </c>
      <c r="BI8" s="6" t="str">
        <f>_xlfn.XLOOKUP(BH8,対応表!$B:$B,対応表!$C:$C," ")</f>
        <v>丁</v>
      </c>
      <c r="BJ8" s="7" t="s">
        <v>459</v>
      </c>
      <c r="BK8" s="6" t="str">
        <f>_xlfn.XLOOKUP(BJ8,対応表!$B:$B,対応表!$C:$C," ")</f>
        <v xml:space="preserve"> </v>
      </c>
      <c r="BL8" s="7" t="s">
        <v>460</v>
      </c>
      <c r="BM8" s="6" t="str">
        <f>_xlfn.XLOOKUP(BL8,対応表!$B:$B,対応表!$C:$C," ")</f>
        <v xml:space="preserve"> </v>
      </c>
      <c r="BN8" s="7" t="s">
        <v>461</v>
      </c>
      <c r="BO8" s="6" t="str">
        <f>_xlfn.XLOOKUP(BN8,対応表!$B:$B,対応表!$C:$C," ")</f>
        <v xml:space="preserve"> </v>
      </c>
      <c r="BP8" s="7" t="s">
        <v>462</v>
      </c>
      <c r="BQ8" s="6" t="str">
        <f>_xlfn.XLOOKUP(BP8,対応表!$B:$B,対応表!$C:$C," ")</f>
        <v>新</v>
      </c>
      <c r="BR8" s="7" t="s">
        <v>463</v>
      </c>
      <c r="BS8" s="6" t="str">
        <f>_xlfn.XLOOKUP(BR8,対応表!$B:$B,対応表!$C:$C," ")</f>
        <v xml:space="preserve"> </v>
      </c>
      <c r="BT8" s="7" t="s">
        <v>464</v>
      </c>
      <c r="BU8" s="6" t="str">
        <f>_xlfn.XLOOKUP(BT8,対応表!$B:$B,対応表!$C:$C," ")</f>
        <v xml:space="preserve"> </v>
      </c>
      <c r="BV8" s="7" t="s">
        <v>465</v>
      </c>
      <c r="BW8" s="6" t="str">
        <f>_xlfn.XLOOKUP(BV8,対応表!$B:$B,対応表!$C:$C," ")</f>
        <v xml:space="preserve"> </v>
      </c>
      <c r="BX8" s="7" t="s">
        <v>466</v>
      </c>
      <c r="BY8" s="6" t="str">
        <f>_xlfn.XLOOKUP(BX8,対応表!$B:$B,対応表!$C:$C," ")</f>
        <v xml:space="preserve"> </v>
      </c>
      <c r="BZ8" s="17" t="s">
        <v>467</v>
      </c>
      <c r="CA8" s="6" t="str">
        <f>_xlfn.XLOOKUP(BZ8,対応表!$B:$B,対応表!$C:$C," ")</f>
        <v xml:space="preserve"> </v>
      </c>
      <c r="CB8" s="7" t="s">
        <v>468</v>
      </c>
      <c r="CC8" s="6" t="str">
        <f>_xlfn.XLOOKUP(CB8,対応表!$B:$B,対応表!$C:$C," ")</f>
        <v xml:space="preserve"> </v>
      </c>
      <c r="CD8" s="7" t="s">
        <v>469</v>
      </c>
      <c r="CE8" s="6" t="str">
        <f>_xlfn.XLOOKUP(CD8,対応表!$B:$B,対応表!$C:$C," ")</f>
        <v xml:space="preserve"> </v>
      </c>
      <c r="CF8" s="7" t="s">
        <v>470</v>
      </c>
      <c r="CG8" s="6" t="str">
        <f>_xlfn.XLOOKUP(CF8,対応表!$B:$B,対応表!$C:$C," ")</f>
        <v>上</v>
      </c>
      <c r="CH8" s="7" t="s">
        <v>471</v>
      </c>
      <c r="CI8" s="6" t="str">
        <f>_xlfn.XLOOKUP(CH8,対応表!$B:$B,対応表!$C:$C," ")</f>
        <v xml:space="preserve"> </v>
      </c>
      <c r="CJ8" s="7" t="s">
        <v>472</v>
      </c>
      <c r="CK8" s="6" t="str">
        <f>_xlfn.XLOOKUP(CJ8,対応表!$B:$B,対応表!$C:$C," ")</f>
        <v>ご</v>
      </c>
      <c r="CL8" s="7" t="s">
        <v>473</v>
      </c>
      <c r="CM8" s="6" t="str">
        <f>_xlfn.XLOOKUP(CL8,対応表!$B:$B,対応表!$C:$C," ")</f>
        <v xml:space="preserve"> </v>
      </c>
      <c r="CN8" s="7" t="s">
        <v>474</v>
      </c>
      <c r="CO8" s="6" t="str">
        <f>_xlfn.XLOOKUP(CN8,対応表!$B:$B,対応表!$C:$C," ")</f>
        <v xml:space="preserve"> </v>
      </c>
      <c r="CP8" s="7" t="s">
        <v>475</v>
      </c>
      <c r="CQ8" s="6" t="str">
        <f>_xlfn.XLOOKUP(CP8,対応表!$B:$B,対応表!$C:$C," ")</f>
        <v xml:space="preserve"> </v>
      </c>
      <c r="CR8" s="7" t="s">
        <v>476</v>
      </c>
      <c r="CS8" s="6" t="str">
        <f>_xlfn.XLOOKUP(CR8,対応表!$B:$B,対応表!$C:$C," ")</f>
        <v xml:space="preserve"> </v>
      </c>
      <c r="CT8" s="7" t="s">
        <v>477</v>
      </c>
      <c r="CU8" s="6" t="str">
        <f>_xlfn.XLOOKUP(CT8,対応表!$B:$B,対応表!$C:$C," ")</f>
        <v xml:space="preserve"> </v>
      </c>
      <c r="CV8" s="7" t="s">
        <v>478</v>
      </c>
      <c r="CW8" s="6" t="str">
        <f>_xlfn.XLOOKUP(CV8,対応表!$B:$B,対応表!$C:$C," ")</f>
        <v xml:space="preserve"> </v>
      </c>
      <c r="CX8" s="7" t="s">
        <v>479</v>
      </c>
      <c r="CY8" s="6" t="str">
        <f>_xlfn.XLOOKUP(CX8,対応表!$B:$B,対応表!$C:$C," ")</f>
        <v>力</v>
      </c>
      <c r="CZ8" s="7" t="s">
        <v>480</v>
      </c>
      <c r="DA8" s="6" t="str">
        <f>_xlfn.XLOOKUP(CZ8,対応表!$B:$B,対応表!$C:$C," ")</f>
        <v xml:space="preserve"> </v>
      </c>
      <c r="DB8" s="7" t="s">
        <v>481</v>
      </c>
      <c r="DC8" s="6" t="str">
        <f>_xlfn.XLOOKUP(DB8,対応表!$B:$B,対応表!$C:$C," ")</f>
        <v xml:space="preserve"> </v>
      </c>
      <c r="DD8" s="7" t="s">
        <v>482</v>
      </c>
      <c r="DE8" s="6" t="str">
        <f>_xlfn.XLOOKUP(DD8,対応表!$B:$B,対応表!$C:$C," ")</f>
        <v xml:space="preserve"> </v>
      </c>
      <c r="DF8" s="7" t="s">
        <v>483</v>
      </c>
      <c r="DG8" s="6" t="str">
        <f>_xlfn.XLOOKUP(DF8,対応表!$B:$B,対応表!$C:$C," ")</f>
        <v xml:space="preserve"> </v>
      </c>
      <c r="DH8" s="17" t="s">
        <v>484</v>
      </c>
      <c r="DI8" s="6" t="str">
        <f>_xlfn.XLOOKUP(DH8,対応表!$B:$B,対応表!$C:$C," ")</f>
        <v>流?</v>
      </c>
      <c r="DJ8" s="7" t="s">
        <v>485</v>
      </c>
      <c r="DK8" s="6" t="str">
        <f>_xlfn.XLOOKUP(DJ8,対応表!$B:$B,対応表!$C:$C," ")</f>
        <v xml:space="preserve"> </v>
      </c>
      <c r="DL8" s="7" t="s">
        <v>486</v>
      </c>
      <c r="DM8" s="6" t="str">
        <f>_xlfn.XLOOKUP(DL8,対応表!$B:$B,対応表!$C:$C," ")</f>
        <v xml:space="preserve"> </v>
      </c>
      <c r="DN8" s="7" t="s">
        <v>487</v>
      </c>
      <c r="DO8" s="6" t="str">
        <f>_xlfn.XLOOKUP(DN8,対応表!$B:$B,対応表!$C:$C," ")</f>
        <v xml:space="preserve"> </v>
      </c>
      <c r="DP8" s="7" t="s">
        <v>488</v>
      </c>
      <c r="DQ8" s="6" t="str">
        <f>_xlfn.XLOOKUP(DP8,対応表!$B:$B,対応表!$C:$C," ")</f>
        <v xml:space="preserve"> </v>
      </c>
      <c r="DR8" s="7" t="s">
        <v>489</v>
      </c>
      <c r="DS8" s="6" t="str">
        <f>_xlfn.XLOOKUP(DR8,対応表!$B:$B,対応表!$C:$C," ")</f>
        <v xml:space="preserve"> </v>
      </c>
      <c r="DT8" s="7" t="s">
        <v>490</v>
      </c>
      <c r="DU8" s="6" t="str">
        <f>_xlfn.XLOOKUP(DT8,対応表!$B:$B,対応表!$C:$C," ")</f>
        <v xml:space="preserve"> </v>
      </c>
      <c r="DV8" s="7" t="s">
        <v>491</v>
      </c>
      <c r="DW8" s="6" t="str">
        <f>_xlfn.XLOOKUP(DV8,対応表!$B:$B,対応表!$C:$C," ")</f>
        <v xml:space="preserve"> </v>
      </c>
      <c r="DX8" s="7" t="s">
        <v>492</v>
      </c>
      <c r="DY8" s="6" t="str">
        <f>_xlfn.XLOOKUP(DX8,対応表!$B:$B,対応表!$C:$C," ")</f>
        <v xml:space="preserve"> </v>
      </c>
      <c r="DZ8" s="7" t="s">
        <v>493</v>
      </c>
      <c r="EA8" s="6" t="str">
        <f>_xlfn.XLOOKUP(DZ8,対応表!$B:$B,対応表!$C:$C," ")</f>
        <v xml:space="preserve"> </v>
      </c>
      <c r="EB8" s="7" t="s">
        <v>494</v>
      </c>
      <c r="EC8" s="6" t="str">
        <f>_xlfn.XLOOKUP(EB8,対応表!$B:$B,対応表!$C:$C," ")</f>
        <v>散?</v>
      </c>
      <c r="ED8" s="7" t="s">
        <v>495</v>
      </c>
      <c r="EE8" s="6" t="str">
        <f>_xlfn.XLOOKUP(ED8,対応表!$B:$B,対応表!$C:$C," ")</f>
        <v xml:space="preserve"> </v>
      </c>
      <c r="EF8" s="17" t="s">
        <v>496</v>
      </c>
      <c r="EG8" s="6" t="str">
        <f>_xlfn.XLOOKUP(EF8,対応表!$B:$B,対応表!$C:$C," ")</f>
        <v xml:space="preserve"> </v>
      </c>
      <c r="EH8" s="7" t="s">
        <v>497</v>
      </c>
      <c r="EI8" s="6" t="str">
        <f>_xlfn.XLOOKUP(EH8,対応表!$B:$B,対応表!$C:$C," ")</f>
        <v xml:space="preserve"> </v>
      </c>
      <c r="EJ8" s="7" t="s">
        <v>498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499</v>
      </c>
      <c r="B9" s="7" t="s">
        <v>500</v>
      </c>
      <c r="C9" s="6" t="str">
        <f>_xlfn.XLOOKUP(B9,対応表!$B:$B,対応表!$C:$C," ")</f>
        <v>す</v>
      </c>
      <c r="D9" s="7" t="s">
        <v>501</v>
      </c>
      <c r="E9" s="22" t="str" cm="1">
        <f t="array" ref="E9">_xlfn.XLOOKUP(D9,対応表!$B:B,対応表!$C:C,"葉")</f>
        <v>葉</v>
      </c>
      <c r="F9" s="7" t="s">
        <v>502</v>
      </c>
      <c r="G9" s="6" t="str">
        <f>_xlfn.XLOOKUP(F9,対応表!$B:$B,対応表!$C:$C," ")</f>
        <v>活</v>
      </c>
      <c r="H9" s="7" t="s">
        <v>503</v>
      </c>
      <c r="I9" s="6" t="str">
        <f>_xlfn.XLOOKUP(H9,対応表!$B:$B,対応表!$C:$C," ")</f>
        <v xml:space="preserve"> </v>
      </c>
      <c r="J9" s="7" t="s">
        <v>504</v>
      </c>
      <c r="K9" s="6" t="str">
        <f>_xlfn.XLOOKUP(J9,対応表!$B:$B,対応表!$C:$C," ")</f>
        <v>を</v>
      </c>
      <c r="L9" s="7" t="s">
        <v>505</v>
      </c>
      <c r="M9" s="6" t="str">
        <f>_xlfn.XLOOKUP(L9,対応表!$B:$B,対応表!$C:$C,"り")</f>
        <v>り</v>
      </c>
      <c r="N9" s="7" t="s">
        <v>506</v>
      </c>
      <c r="O9" s="6" t="str">
        <f>_xlfn.XLOOKUP(N9,対応表!$B:$B,対応表!$C:$C," ")</f>
        <v xml:space="preserve"> </v>
      </c>
      <c r="P9" s="7" t="s">
        <v>507</v>
      </c>
      <c r="Q9" s="6" t="str">
        <f>_xlfn.XLOOKUP(P9,対応表!$B:$B,対応表!$C:$C," ")</f>
        <v xml:space="preserve"> </v>
      </c>
      <c r="R9" s="7" t="s">
        <v>508</v>
      </c>
      <c r="S9" s="6" t="str">
        <f>_xlfn.XLOOKUP(R9,対応表!$B:$B,対応表!$C:$C," ")</f>
        <v xml:space="preserve"> </v>
      </c>
      <c r="T9" s="7" t="s">
        <v>509</v>
      </c>
      <c r="U9" s="6" t="str">
        <f>_xlfn.XLOOKUP(T9,対応表!$B:$B,対応表!$C:$C," ")</f>
        <v xml:space="preserve"> </v>
      </c>
      <c r="V9" s="7" t="s">
        <v>510</v>
      </c>
      <c r="W9" s="6" t="str">
        <f>_xlfn.XLOOKUP(V9,対応表!$B:$B,対応表!$C:$C," ")</f>
        <v xml:space="preserve"> </v>
      </c>
      <c r="X9" s="7" t="s">
        <v>511</v>
      </c>
      <c r="Y9" s="6" t="str">
        <f>_xlfn.XLOOKUP(X9,対応表!$B:$B,対応表!$C:$C," ")</f>
        <v>ぞ</v>
      </c>
      <c r="Z9" s="7" t="s">
        <v>512</v>
      </c>
      <c r="AA9" s="6" t="str">
        <f>_xlfn.XLOOKUP(Z9,対応表!$B:$B,対応表!$C:$C," ")</f>
        <v xml:space="preserve"> </v>
      </c>
      <c r="AB9" s="7" t="s">
        <v>513</v>
      </c>
      <c r="AC9" s="6" t="str">
        <f>_xlfn.XLOOKUP(AB9,対応表!$B:$B,対応表!$C:$C," ")</f>
        <v>導?</v>
      </c>
      <c r="AD9" s="7" t="s">
        <v>514</v>
      </c>
      <c r="AE9" s="6" t="str">
        <f>_xlfn.XLOOKUP(AD9,対応表!$B:$B,対応表!$C:$C," ")</f>
        <v xml:space="preserve"> </v>
      </c>
      <c r="AF9" s="7" t="s">
        <v>515</v>
      </c>
      <c r="AG9" s="6" t="str">
        <f>_xlfn.XLOOKUP(AF9,対応表!$B:$B,対応表!$C:$C," ")</f>
        <v xml:space="preserve"> </v>
      </c>
      <c r="AH9" s="17" t="s">
        <v>516</v>
      </c>
      <c r="AI9" s="6" t="str">
        <f>_xlfn.XLOOKUP(AH9,対応表!$B:$B,対応表!$C:$C," ")</f>
        <v xml:space="preserve"> </v>
      </c>
      <c r="AJ9" s="7" t="s">
        <v>517</v>
      </c>
      <c r="AK9" s="6" t="str">
        <f>_xlfn.XLOOKUP(AJ9,対応表!$B:$B,対応表!$C:$C," ")</f>
        <v xml:space="preserve"> </v>
      </c>
      <c r="AL9" s="7" t="s">
        <v>518</v>
      </c>
      <c r="AM9" s="6" t="str">
        <f>_xlfn.XLOOKUP(AL9,対応表!$B:$B,対応表!$C:$C," ")</f>
        <v>向</v>
      </c>
      <c r="AN9" s="7" t="s">
        <v>519</v>
      </c>
      <c r="AO9" s="6" t="str">
        <f>_xlfn.XLOOKUP(AN9,対応表!$B:$B,対応表!$C:$C," ")</f>
        <v>様?</v>
      </c>
      <c r="AP9" s="17" t="s">
        <v>520</v>
      </c>
      <c r="AQ9" s="6" t="str">
        <f>_xlfn.XLOOKUP(AP9,対応表!$B:$B,対応表!$C:$C," ")</f>
        <v xml:space="preserve"> </v>
      </c>
      <c r="AR9" s="7" t="s">
        <v>521</v>
      </c>
      <c r="AS9" s="6" t="str">
        <f>_xlfn.XLOOKUP(AR9,対応表!$B:$B,対応表!$C:$C," ")</f>
        <v xml:space="preserve"> </v>
      </c>
      <c r="AT9" s="7" t="s">
        <v>522</v>
      </c>
      <c r="AU9" s="6" t="str">
        <f>_xlfn.XLOOKUP(AT9,対応表!$B:$B,対応表!$C:$C," ")</f>
        <v xml:space="preserve"> </v>
      </c>
      <c r="AV9" s="7" t="s">
        <v>523</v>
      </c>
      <c r="AW9" s="6" t="str">
        <f>_xlfn.XLOOKUP(AV9,対応表!$B:$B,対応表!$C:$C," ")</f>
        <v xml:space="preserve"> </v>
      </c>
      <c r="AX9" s="7" t="s">
        <v>524</v>
      </c>
      <c r="AY9" s="6" t="str">
        <f>_xlfn.XLOOKUP(AX9,対応表!$B:$B,対応表!$C:$C," ")</f>
        <v xml:space="preserve"> </v>
      </c>
      <c r="AZ9" s="7" t="s">
        <v>525</v>
      </c>
      <c r="BA9" s="6" t="str">
        <f>_xlfn.XLOOKUP(AZ9,対応表!$B:$B,対応表!$C:$C,"に")</f>
        <v>に</v>
      </c>
      <c r="BB9" s="7" t="s">
        <v>526</v>
      </c>
      <c r="BC9" s="6" t="str">
        <f>_xlfn.XLOOKUP(BB9,対応表!$B:$B,対応表!$C:$C," ")</f>
        <v xml:space="preserve"> </v>
      </c>
      <c r="BD9" s="7" t="s">
        <v>527</v>
      </c>
      <c r="BE9" s="6" t="str">
        <f>_xlfn.XLOOKUP(BD9,対応表!$B:$B,対応表!$C:$C," ")</f>
        <v xml:space="preserve"> </v>
      </c>
      <c r="BF9" s="7" t="s">
        <v>528</v>
      </c>
      <c r="BG9" s="6" t="str">
        <f>_xlfn.XLOOKUP(BF9,対応表!$B:$B,対応表!$C:$C," ")</f>
        <v xml:space="preserve"> </v>
      </c>
      <c r="BH9" s="7" t="s">
        <v>529</v>
      </c>
      <c r="BI9" s="6" t="str">
        <f>_xlfn.XLOOKUP(BH9,対応表!$B:$B,対応表!$C:$C," ")</f>
        <v>重?</v>
      </c>
      <c r="BJ9" s="7" t="s">
        <v>530</v>
      </c>
      <c r="BK9" s="6" t="str">
        <f>_xlfn.XLOOKUP(BJ9,対応表!$B:$B,対応表!$C:$C," ")</f>
        <v xml:space="preserve"> </v>
      </c>
      <c r="BL9" s="7" t="s">
        <v>531</v>
      </c>
      <c r="BM9" s="6" t="str">
        <f>_xlfn.XLOOKUP(BL9,対応表!$B:$B,対応表!$C:$C," ")</f>
        <v xml:space="preserve"> </v>
      </c>
      <c r="BN9" s="7" t="s">
        <v>532</v>
      </c>
      <c r="BO9" s="6" t="str">
        <f>_xlfn.XLOOKUP(BN9,対応表!$B:$B,対応表!$C:$C," ")</f>
        <v xml:space="preserve"> </v>
      </c>
      <c r="BP9" s="7" t="s">
        <v>533</v>
      </c>
      <c r="BQ9" s="6" t="str">
        <f>_xlfn.XLOOKUP(BP9,対応表!$B:$B,対応表!$C:$C," ")</f>
        <v>祝</v>
      </c>
      <c r="BR9" s="7" t="s">
        <v>534</v>
      </c>
      <c r="BS9" s="6" t="str">
        <f>_xlfn.XLOOKUP(BR9,対応表!$B:$B,対応表!$C:$C," ")</f>
        <v xml:space="preserve"> </v>
      </c>
      <c r="BT9" s="7" t="s">
        <v>535</v>
      </c>
      <c r="BU9" s="6" t="str">
        <f>_xlfn.XLOOKUP(BT9,対応表!$B:$B,対応表!$C:$C," ")</f>
        <v xml:space="preserve"> </v>
      </c>
      <c r="BV9" s="7" t="s">
        <v>536</v>
      </c>
      <c r="BW9" s="6" t="str">
        <f>_xlfn.XLOOKUP(BV9,対応表!$B:$B,対応表!$C:$C," ")</f>
        <v xml:space="preserve"> </v>
      </c>
      <c r="BX9" s="17" t="s">
        <v>537</v>
      </c>
      <c r="BY9" s="6" t="str">
        <f>_xlfn.XLOOKUP(BX9,対応表!$B:$B,対応表!$C:$C," ")</f>
        <v xml:space="preserve"> </v>
      </c>
      <c r="BZ9" s="7" t="s">
        <v>538</v>
      </c>
      <c r="CA9" s="6" t="str">
        <f>_xlfn.XLOOKUP(BZ9,対応表!$B:$B,対応表!$C:$C," ")</f>
        <v xml:space="preserve"> </v>
      </c>
      <c r="CB9" s="7" t="s">
        <v>539</v>
      </c>
      <c r="CC9" s="6" t="str">
        <f>_xlfn.XLOOKUP(CB9,対応表!$B:$B,対応表!$C:$C," ")</f>
        <v xml:space="preserve"> </v>
      </c>
      <c r="CD9" s="7" t="s">
        <v>540</v>
      </c>
      <c r="CE9" s="6" t="str">
        <f>_xlfn.XLOOKUP(CD9,対応表!$B:$B,対応表!$C:$C," ")</f>
        <v xml:space="preserve"> </v>
      </c>
      <c r="CF9" s="7" t="s">
        <v>541</v>
      </c>
      <c r="CG9" s="6" t="str">
        <f>_xlfn.XLOOKUP(CF9,対応表!$B:$B,対応表!$C:$C," ")</f>
        <v>下</v>
      </c>
      <c r="CH9" s="7" t="s">
        <v>542</v>
      </c>
      <c r="CI9" s="6" t="str">
        <f>_xlfn.XLOOKUP(CH9,対応表!$B:$B,対応表!$C:$C," ")</f>
        <v>広?</v>
      </c>
      <c r="CJ9" s="7" t="s">
        <v>543</v>
      </c>
      <c r="CK9" s="6" t="str">
        <f>_xlfn.XLOOKUP(CJ9,対応表!$B:$B,対応表!$C:$C," ")</f>
        <v xml:space="preserve"> </v>
      </c>
      <c r="CL9" s="7" t="s">
        <v>544</v>
      </c>
      <c r="CM9" s="6" t="str">
        <f>_xlfn.XLOOKUP(CL9,対応表!$B:$B,対応表!$C:$C," ")</f>
        <v xml:space="preserve"> </v>
      </c>
      <c r="CN9" s="7" t="s">
        <v>545</v>
      </c>
      <c r="CO9" s="6" t="str">
        <f>_xlfn.XLOOKUP(CN9,対応表!$B:$B,対応表!$C:$C," ")</f>
        <v xml:space="preserve"> </v>
      </c>
      <c r="CP9" s="7" t="s">
        <v>546</v>
      </c>
      <c r="CQ9" s="6" t="str">
        <f>_xlfn.XLOOKUP(CP9,対応表!$B:$B,対応表!$C:$C," ")</f>
        <v>息?</v>
      </c>
      <c r="CR9" s="7" t="s">
        <v>547</v>
      </c>
      <c r="CS9" s="6" t="str">
        <f>_xlfn.XLOOKUP(CR9,対応表!$B:$B,対応表!$C:$C," ")</f>
        <v xml:space="preserve"> </v>
      </c>
      <c r="CT9" s="7" t="s">
        <v>548</v>
      </c>
      <c r="CU9" s="6" t="str">
        <f>_xlfn.XLOOKUP(CT9,対応表!$B:$B,対応表!$C:$C," ")</f>
        <v>収?</v>
      </c>
      <c r="CV9" s="7" t="s">
        <v>549</v>
      </c>
      <c r="CW9" s="6" t="str">
        <f>_xlfn.XLOOKUP(CV9,対応表!$B:$B,対応表!$C:$C," ")</f>
        <v xml:space="preserve"> </v>
      </c>
      <c r="CX9" s="7" t="s">
        <v>550</v>
      </c>
      <c r="CY9" s="6" t="str">
        <f>_xlfn.XLOOKUP(CX9,対応表!$B:$B,対応表!$C:$C," ")</f>
        <v xml:space="preserve"> </v>
      </c>
      <c r="CZ9" s="7" t="s">
        <v>551</v>
      </c>
      <c r="DA9" s="6" t="str">
        <f>_xlfn.XLOOKUP(CZ9,対応表!$B:$B,対応表!$C:$C," ")</f>
        <v xml:space="preserve"> </v>
      </c>
      <c r="DB9" s="7" t="s">
        <v>552</v>
      </c>
      <c r="DC9" s="6" t="str">
        <f>_xlfn.XLOOKUP(DB9,対応表!$B:$B,対応表!$C:$C," ")</f>
        <v xml:space="preserve"> </v>
      </c>
      <c r="DD9" s="7" t="s">
        <v>553</v>
      </c>
      <c r="DE9" s="6" t="str">
        <f>_xlfn.XLOOKUP(DD9,対応表!$B:$B,対応表!$C:$C," ")</f>
        <v xml:space="preserve"> </v>
      </c>
      <c r="DF9" s="7" t="s">
        <v>554</v>
      </c>
      <c r="DG9" s="6" t="str">
        <f>_xlfn.XLOOKUP(DF9,対応表!$B:$B,対応表!$C:$C," ")</f>
        <v xml:space="preserve"> </v>
      </c>
      <c r="DH9" s="17" t="s">
        <v>555</v>
      </c>
      <c r="DI9" s="6" t="str">
        <f>_xlfn.XLOOKUP(DH9,対応表!$B:$B,対応表!$C:$C," ")</f>
        <v xml:space="preserve"> </v>
      </c>
      <c r="DJ9" s="7" t="s">
        <v>556</v>
      </c>
      <c r="DK9" s="6" t="str">
        <f>_xlfn.XLOOKUP(DJ9,対応表!$B:$B,対応表!$C:$C," ")</f>
        <v xml:space="preserve"> </v>
      </c>
      <c r="DL9" s="7" t="s">
        <v>557</v>
      </c>
      <c r="DM9" s="6" t="str">
        <f>_xlfn.XLOOKUP(DL9,対応表!$B:$B,対応表!$C:$C," ")</f>
        <v>印?</v>
      </c>
      <c r="DN9" s="7" t="s">
        <v>558</v>
      </c>
      <c r="DO9" s="6" t="str">
        <f>_xlfn.XLOOKUP(DN9,対応表!$B:$B,対応表!$C:$C," ")</f>
        <v xml:space="preserve"> </v>
      </c>
      <c r="DP9" s="7" t="s">
        <v>559</v>
      </c>
      <c r="DQ9" s="6" t="str">
        <f>_xlfn.XLOOKUP(DP9,対応表!$B:$B,対応表!$C:$C," ")</f>
        <v xml:space="preserve"> </v>
      </c>
      <c r="DR9" s="7" t="s">
        <v>560</v>
      </c>
      <c r="DS9" s="6" t="str">
        <f>_xlfn.XLOOKUP(DR9,対応表!$B:$B,対応表!$C:$C," ")</f>
        <v xml:space="preserve"> </v>
      </c>
      <c r="DT9" s="7" t="s">
        <v>561</v>
      </c>
      <c r="DU9" s="6" t="str">
        <f>_xlfn.XLOOKUP(DT9,対応表!$B:$B,対応表!$C:$C," ")</f>
        <v xml:space="preserve"> </v>
      </c>
      <c r="DV9" s="7" t="s">
        <v>562</v>
      </c>
      <c r="DW9" s="6" t="str">
        <f>_xlfn.XLOOKUP(DV9,対応表!$B:$B,対応表!$C:$C," ")</f>
        <v xml:space="preserve"> </v>
      </c>
      <c r="DX9" s="7" t="s">
        <v>563</v>
      </c>
      <c r="DY9" s="6" t="str">
        <f>_xlfn.XLOOKUP(DX9,対応表!$B:$B,対応表!$C:$C," ")</f>
        <v xml:space="preserve"> </v>
      </c>
      <c r="DZ9" s="7" t="s">
        <v>564</v>
      </c>
      <c r="EA9" s="6" t="str">
        <f>_xlfn.XLOOKUP(DZ9,対応表!$B:$B,対応表!$C:$C," ")</f>
        <v xml:space="preserve"> </v>
      </c>
      <c r="EB9" s="7" t="s">
        <v>565</v>
      </c>
      <c r="EC9" s="6" t="str">
        <f>_xlfn.XLOOKUP(EB9,対応表!$B:$B,対応表!$C:$C," ")</f>
        <v xml:space="preserve"> </v>
      </c>
      <c r="ED9" s="7" t="s">
        <v>566</v>
      </c>
      <c r="EE9" s="6" t="str">
        <f>_xlfn.XLOOKUP(ED9,対応表!$B:$B,対応表!$C:$C," ")</f>
        <v xml:space="preserve"> </v>
      </c>
      <c r="EF9" s="7" t="s">
        <v>567</v>
      </c>
      <c r="EG9" s="6" t="str">
        <f>_xlfn.XLOOKUP(EF9,対応表!$B:$B,対応表!$C:$C," ")</f>
        <v xml:space="preserve"> </v>
      </c>
      <c r="EH9" s="7" t="s">
        <v>568</v>
      </c>
      <c r="EI9" s="6" t="str">
        <f>_xlfn.XLOOKUP(EH9,対応表!$B:$B,対応表!$C:$C," ")</f>
        <v xml:space="preserve"> </v>
      </c>
      <c r="EJ9" s="7" t="s">
        <v>569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570</v>
      </c>
      <c r="B10" s="7" t="s">
        <v>571</v>
      </c>
      <c r="C10" s="6" t="str">
        <f>_xlfn.XLOOKUP(B10,対応表!$B:$B,対応表!$C:$C," ")</f>
        <v>は</v>
      </c>
      <c r="D10" s="7" t="s">
        <v>572</v>
      </c>
      <c r="E10" s="22" t="str" cm="1">
        <f t="array" ref="E10">_xlfn.XLOOKUP(D10,対応表!$B:B,対応表!$C:C,"で")</f>
        <v>で</v>
      </c>
      <c r="F10" s="7" t="s">
        <v>573</v>
      </c>
      <c r="G10" s="6" t="str">
        <f>_xlfn.XLOOKUP(F10,対応表!$B:$B,対応表!$C:$C," ")</f>
        <v xml:space="preserve"> </v>
      </c>
      <c r="H10" s="7" t="s">
        <v>574</v>
      </c>
      <c r="I10" s="6" t="str">
        <f>_xlfn.XLOOKUP(H10,対応表!$B:$B,対応表!$C:$C," ")</f>
        <v xml:space="preserve"> </v>
      </c>
      <c r="J10" s="7" t="s">
        <v>575</v>
      </c>
      <c r="K10" s="6" t="str">
        <f>_xlfn.XLOOKUP(J10,対応表!$B:$B,対応表!$C:$C," ")</f>
        <v xml:space="preserve"> </v>
      </c>
      <c r="L10" s="7" t="s">
        <v>576</v>
      </c>
      <c r="M10" s="6" t="str">
        <f>_xlfn.XLOOKUP(L10,対応表!$B:$B,対応表!$C:$C," ")</f>
        <v>残</v>
      </c>
      <c r="N10" s="7" t="s">
        <v>577</v>
      </c>
      <c r="O10" s="6" t="str">
        <f>_xlfn.XLOOKUP(N10,対応表!$B:$B,対応表!$C:$C," ")</f>
        <v xml:space="preserve"> </v>
      </c>
      <c r="P10" s="7" t="s">
        <v>578</v>
      </c>
      <c r="Q10" s="6" t="str">
        <f>_xlfn.XLOOKUP(P10,対応表!$B:$B,対応表!$C:$C," ")</f>
        <v xml:space="preserve"> </v>
      </c>
      <c r="R10" s="7" t="s">
        <v>579</v>
      </c>
      <c r="S10" s="6" t="str">
        <f>_xlfn.XLOOKUP(R10,対応表!$B:$B,対応表!$C:$C," ")</f>
        <v xml:space="preserve"> </v>
      </c>
      <c r="T10" s="7" t="s">
        <v>580</v>
      </c>
      <c r="U10" s="6" t="str">
        <f>_xlfn.XLOOKUP(T10,対応表!$B:$B,対応表!$C:$C," ")</f>
        <v xml:space="preserve"> </v>
      </c>
      <c r="V10" s="7" t="s">
        <v>581</v>
      </c>
      <c r="W10" s="6" t="str">
        <f>_xlfn.XLOOKUP(V10,対応表!$B:$B,対応表!$C:$C," ")</f>
        <v xml:space="preserve"> </v>
      </c>
      <c r="X10" s="7" t="s">
        <v>582</v>
      </c>
      <c r="Y10" s="6" t="str">
        <f>_xlfn.XLOOKUP(X10,対応表!$B:$B,対応表!$C:$C," ")</f>
        <v>い</v>
      </c>
      <c r="Z10" s="7" t="s">
        <v>583</v>
      </c>
      <c r="AA10" s="6" t="str">
        <f>_xlfn.XLOOKUP(Z10,対応表!$B:$B,対応表!$C:$C," ")</f>
        <v xml:space="preserve"> </v>
      </c>
      <c r="AB10" s="7" t="s">
        <v>584</v>
      </c>
      <c r="AC10" s="6" t="str">
        <f>_xlfn.XLOOKUP(AB10,対応表!$B:$B,対応表!$C:$C," ")</f>
        <v xml:space="preserve"> </v>
      </c>
      <c r="AD10" s="7" t="s">
        <v>585</v>
      </c>
      <c r="AE10" s="6" t="str">
        <f>_xlfn.XLOOKUP(AD10,対応表!$B:$B,対応表!$C:$C," ")</f>
        <v xml:space="preserve"> </v>
      </c>
      <c r="AF10" s="7" t="s">
        <v>586</v>
      </c>
      <c r="AG10" s="6" t="str">
        <f>_xlfn.XLOOKUP(AF10,対応表!$B:$B,対応表!$C:$C," ")</f>
        <v>名</v>
      </c>
      <c r="AH10" s="7" t="s">
        <v>587</v>
      </c>
      <c r="AI10" s="6" t="str">
        <f>_xlfn.XLOOKUP(AH10,対応表!$B:$B,対応表!$C:$C," ")</f>
        <v xml:space="preserve"> </v>
      </c>
      <c r="AJ10" s="7" t="s">
        <v>588</v>
      </c>
      <c r="AK10" s="6" t="str">
        <f>_xlfn.XLOOKUP(AJ10,対応表!$B:$B,対応表!$C:$C," ")</f>
        <v xml:space="preserve"> </v>
      </c>
      <c r="AL10" s="7" t="s">
        <v>589</v>
      </c>
      <c r="AM10" s="6" t="str">
        <f>_xlfn.XLOOKUP(AL10,対応表!$B:$B,対応表!$C:$C,"か")</f>
        <v>か</v>
      </c>
      <c r="AN10" s="7" t="s">
        <v>590</v>
      </c>
      <c r="AO10" s="6" t="str">
        <f>_xlfn.XLOOKUP(AN10,対応表!$B:$B,対応表!$C:$C," ")</f>
        <v xml:space="preserve"> </v>
      </c>
      <c r="AP10" s="7" t="s">
        <v>591</v>
      </c>
      <c r="AQ10" s="6" t="str">
        <f>_xlfn.XLOOKUP(AP10,対応表!$B:$B,対応表!$C:$C," ")</f>
        <v xml:space="preserve"> </v>
      </c>
      <c r="AR10" s="7" t="s">
        <v>592</v>
      </c>
      <c r="AS10" s="6" t="str">
        <f>_xlfn.XLOOKUP(AR10,対応表!$B:$B,対応表!$C:$C," ")</f>
        <v>知</v>
      </c>
      <c r="AT10" s="7" t="s">
        <v>593</v>
      </c>
      <c r="AU10" s="6" t="str">
        <f>_xlfn.XLOOKUP(AT10,対応表!$B:$B,対応表!$C:$C," ")</f>
        <v xml:space="preserve"> </v>
      </c>
      <c r="AV10" s="7" t="s">
        <v>594</v>
      </c>
      <c r="AW10" s="6" t="str">
        <f>_xlfn.XLOOKUP(AV10,対応表!$B:$B,対応表!$C:$C," ")</f>
        <v xml:space="preserve"> </v>
      </c>
      <c r="AX10" s="7" t="s">
        <v>595</v>
      </c>
      <c r="AY10" s="6" t="str">
        <f>_xlfn.XLOOKUP(AX10,対応表!$B:$B,対応表!$C:$C," ")</f>
        <v xml:space="preserve"> </v>
      </c>
      <c r="AZ10" s="7" t="s">
        <v>596</v>
      </c>
      <c r="BA10" s="6" t="str">
        <f>_xlfn.XLOOKUP(AZ10,対応表!$B:$B,対応表!$C:$C," ")</f>
        <v>迷</v>
      </c>
      <c r="BB10" s="7" t="s">
        <v>597</v>
      </c>
      <c r="BC10" s="6" t="str">
        <f>_xlfn.XLOOKUP(BB10,対応表!$B:$B,対応表!$C:$C," ")</f>
        <v>店</v>
      </c>
      <c r="BD10" s="7" t="s">
        <v>598</v>
      </c>
      <c r="BE10" s="6" t="str">
        <f>_xlfn.XLOOKUP(BD10,対応表!$B:$B,対応表!$C:$C," ")</f>
        <v xml:space="preserve"> </v>
      </c>
      <c r="BF10" s="7" t="s">
        <v>599</v>
      </c>
      <c r="BG10" s="6" t="str">
        <f>_xlfn.XLOOKUP(BF10,対応表!$B:$B,対応表!$C:$C," ")</f>
        <v xml:space="preserve"> </v>
      </c>
      <c r="BH10" s="7" t="s">
        <v>600</v>
      </c>
      <c r="BI10" s="6" t="str">
        <f>_xlfn.XLOOKUP(BH10,対応表!$B:$B,対応表!$C:$C," ")</f>
        <v xml:space="preserve"> </v>
      </c>
      <c r="BJ10" s="7" t="s">
        <v>601</v>
      </c>
      <c r="BK10" s="6" t="str">
        <f>_xlfn.XLOOKUP(BJ10,対応表!$B:$B,対応表!$C:$C," ")</f>
        <v xml:space="preserve"> </v>
      </c>
      <c r="BL10" s="7" t="s">
        <v>602</v>
      </c>
      <c r="BM10" s="6" t="str">
        <f>_xlfn.XLOOKUP(BL10,対応表!$B:$B,対応表!$C:$C," ")</f>
        <v xml:space="preserve"> </v>
      </c>
      <c r="BN10" s="7" t="s">
        <v>603</v>
      </c>
      <c r="BO10" s="6" t="str">
        <f>_xlfn.XLOOKUP(BN10,対応表!$B:$B,対応表!$C:$C," ")</f>
        <v xml:space="preserve"> </v>
      </c>
      <c r="BP10" s="7" t="s">
        <v>604</v>
      </c>
      <c r="BQ10" s="6" t="str">
        <f>_xlfn.XLOOKUP(BP10,対応表!$B:$B,対応表!$C:$C," ")</f>
        <v xml:space="preserve"> </v>
      </c>
      <c r="BR10" s="7" t="s">
        <v>605</v>
      </c>
      <c r="BS10" s="6" t="str">
        <f>_xlfn.XLOOKUP(BR10,対応表!$B:$B,対応表!$C:$C," ")</f>
        <v>ー</v>
      </c>
      <c r="BT10" s="17" t="s">
        <v>606</v>
      </c>
      <c r="BU10" s="6" t="str">
        <f>_xlfn.XLOOKUP(BT10,対応表!$B:$B,対応表!$C:$C," ")</f>
        <v xml:space="preserve"> </v>
      </c>
      <c r="BV10" s="7" t="s">
        <v>607</v>
      </c>
      <c r="BW10" s="6" t="str">
        <f>_xlfn.XLOOKUP(BV10,対応表!$B:$B,対応表!$C:$C," ")</f>
        <v xml:space="preserve"> </v>
      </c>
      <c r="BX10" s="7" t="s">
        <v>608</v>
      </c>
      <c r="BY10" s="6" t="str">
        <f>_xlfn.XLOOKUP(BX10,対応表!$B:$B,対応表!$C:$C," ")</f>
        <v xml:space="preserve"> </v>
      </c>
      <c r="BZ10" s="7" t="s">
        <v>609</v>
      </c>
      <c r="CA10" s="6" t="str">
        <f>_xlfn.XLOOKUP(BZ10,対応表!$B:$B,対応表!$C:$C," ")</f>
        <v xml:space="preserve"> </v>
      </c>
      <c r="CB10" s="7" t="s">
        <v>610</v>
      </c>
      <c r="CC10" s="6" t="str">
        <f>_xlfn.XLOOKUP(CB10,対応表!$B:$B,対応表!$C:$C," ")</f>
        <v xml:space="preserve"> </v>
      </c>
      <c r="CD10" s="7" t="s">
        <v>611</v>
      </c>
      <c r="CE10" s="6" t="str">
        <f>_xlfn.XLOOKUP(CD10,対応表!$B:$B,対応表!$C:$C," ")</f>
        <v xml:space="preserve"> </v>
      </c>
      <c r="CF10" s="7" t="s">
        <v>612</v>
      </c>
      <c r="CG10" s="6" t="str">
        <f>_xlfn.XLOOKUP(CF10,対応表!$B:$B,対応表!$C:$C," ")</f>
        <v xml:space="preserve"> </v>
      </c>
      <c r="CH10" s="7" t="s">
        <v>613</v>
      </c>
      <c r="CI10" s="6" t="str">
        <f>_xlfn.XLOOKUP(CH10,対応表!$B:$B,対応表!$C:$C," ")</f>
        <v xml:space="preserve"> </v>
      </c>
      <c r="CJ10" s="7" t="s">
        <v>614</v>
      </c>
      <c r="CK10" s="6" t="str">
        <f>_xlfn.XLOOKUP(CJ10,対応表!$B:$B,対応表!$C:$C," ")</f>
        <v xml:space="preserve"> </v>
      </c>
      <c r="CL10" s="7" t="s">
        <v>615</v>
      </c>
      <c r="CM10" s="6" t="str">
        <f>_xlfn.XLOOKUP(CL10,対応表!$B:$B,対応表!$C:$C," ")</f>
        <v xml:space="preserve"> </v>
      </c>
      <c r="CN10" s="7" t="s">
        <v>616</v>
      </c>
      <c r="CO10" s="6" t="str">
        <f>_xlfn.XLOOKUP(CN10,対応表!$B:$B,対応表!$C:$C," ")</f>
        <v xml:space="preserve"> </v>
      </c>
      <c r="CP10" s="7" t="s">
        <v>617</v>
      </c>
      <c r="CQ10" s="6" t="str">
        <f>_xlfn.XLOOKUP(CP10,対応表!$B:$B,対応表!$C:$C," ")</f>
        <v>づ/付?</v>
      </c>
      <c r="CR10" s="7" t="s">
        <v>618</v>
      </c>
      <c r="CS10" s="6" t="str">
        <f>_xlfn.XLOOKUP(CR10,対応表!$B:$B,対応表!$C:$C," ")</f>
        <v xml:space="preserve"> </v>
      </c>
      <c r="CT10" s="7" t="s">
        <v>619</v>
      </c>
      <c r="CU10" s="6" t="str">
        <f>_xlfn.XLOOKUP(CT10,対応表!$B:$B,対応表!$C:$C," ")</f>
        <v>監?</v>
      </c>
      <c r="CV10" s="7" t="s">
        <v>620</v>
      </c>
      <c r="CW10" s="6" t="str">
        <f>_xlfn.XLOOKUP(CV10,対応表!$B:$B,対応表!$C:$C," ")</f>
        <v xml:space="preserve"> </v>
      </c>
      <c r="CX10" s="7" t="s">
        <v>621</v>
      </c>
      <c r="CY10" s="6" t="str">
        <f>_xlfn.XLOOKUP(CX10,対応表!$B:$B,対応表!$C:$C," ")</f>
        <v xml:space="preserve"> </v>
      </c>
      <c r="CZ10" s="7" t="s">
        <v>622</v>
      </c>
      <c r="DA10" s="6" t="str">
        <f>_xlfn.XLOOKUP(CZ10,対応表!$B:$B,対応表!$C:$C," ")</f>
        <v xml:space="preserve"> </v>
      </c>
      <c r="DB10" s="7" t="s">
        <v>623</v>
      </c>
      <c r="DC10" s="6" t="str">
        <f>_xlfn.XLOOKUP(DB10,対応表!$B:$B,対応表!$C:$C," ")</f>
        <v xml:space="preserve"> </v>
      </c>
      <c r="DD10" s="7" t="s">
        <v>624</v>
      </c>
      <c r="DE10" s="6" t="str">
        <f>_xlfn.XLOOKUP(DD10,対応表!$B:$B,対応表!$C:$C," ")</f>
        <v>ぶ</v>
      </c>
      <c r="DF10" s="7" t="s">
        <v>625</v>
      </c>
      <c r="DG10" s="6" t="str">
        <f>_xlfn.XLOOKUP(DF10,対応表!$B:$B,対応表!$C:$C," ")</f>
        <v>花</v>
      </c>
      <c r="DH10" s="1" t="s">
        <v>626</v>
      </c>
      <c r="DI10" s="6" t="str">
        <f>_xlfn.XLOOKUP(DH10,対応表!$B:$B,対応表!$C:$C," ")</f>
        <v xml:space="preserve"> </v>
      </c>
      <c r="DJ10" s="7" t="s">
        <v>627</v>
      </c>
      <c r="DK10" s="6" t="str">
        <f>_xlfn.XLOOKUP(DJ10,対応表!$B:$B,対応表!$C:$C," ")</f>
        <v xml:space="preserve"> </v>
      </c>
      <c r="DL10" s="7" t="s">
        <v>628</v>
      </c>
      <c r="DM10" s="6" t="str">
        <f>_xlfn.XLOOKUP(DL10,対応表!$B:$B,対応表!$C:$C," ")</f>
        <v xml:space="preserve"> </v>
      </c>
      <c r="DN10" s="7" t="s">
        <v>629</v>
      </c>
      <c r="DO10" s="6" t="str">
        <f>_xlfn.XLOOKUP(DN10,対応表!$B:$B,対応表!$C:$C," ")</f>
        <v>ね</v>
      </c>
      <c r="DP10" s="7" t="s">
        <v>630</v>
      </c>
      <c r="DQ10" s="6" t="str">
        <f>_xlfn.XLOOKUP(DP10,対応表!$B:$B,対応表!$C:$C," ")</f>
        <v xml:space="preserve"> </v>
      </c>
      <c r="DR10" s="7" t="s">
        <v>631</v>
      </c>
      <c r="DS10" s="6" t="str">
        <f>_xlfn.XLOOKUP(DR10,対応表!$B:$B,対応表!$C:$C," ")</f>
        <v xml:space="preserve"> </v>
      </c>
      <c r="DT10" s="7" t="s">
        <v>632</v>
      </c>
      <c r="DU10" s="6" t="str">
        <f>_xlfn.XLOOKUP(DT10,対応表!$B:$B,対応表!$C:$C," ")</f>
        <v xml:space="preserve"> </v>
      </c>
      <c r="DV10" s="7" t="s">
        <v>633</v>
      </c>
      <c r="DW10" s="6" t="str">
        <f>_xlfn.XLOOKUP(DV10,対応表!$B:$B,対応表!$C:$C," ")</f>
        <v xml:space="preserve"> </v>
      </c>
      <c r="DX10" s="7" t="s">
        <v>634</v>
      </c>
      <c r="DY10" s="6" t="str">
        <f>_xlfn.XLOOKUP(DX10,対応表!$B:$B,対応表!$C:$C," ")</f>
        <v xml:space="preserve"> </v>
      </c>
      <c r="DZ10" s="7" t="s">
        <v>635</v>
      </c>
      <c r="EA10" s="6" t="str">
        <f>_xlfn.XLOOKUP(DZ10,対応表!$B:$B,対応表!$C:$C," ")</f>
        <v xml:space="preserve"> </v>
      </c>
      <c r="EB10" s="7" t="s">
        <v>636</v>
      </c>
      <c r="EC10" s="6" t="str">
        <f>_xlfn.XLOOKUP(EB10,対応表!$B:$B,対応表!$C:$C," ")</f>
        <v xml:space="preserve"> </v>
      </c>
      <c r="ED10" s="7" t="s">
        <v>637</v>
      </c>
      <c r="EE10" s="6" t="str">
        <f>_xlfn.XLOOKUP(ED10,対応表!$B:$B,対応表!$C:$C," ")</f>
        <v xml:space="preserve"> </v>
      </c>
      <c r="EF10" s="7" t="s">
        <v>638</v>
      </c>
      <c r="EG10" s="6" t="str">
        <f>_xlfn.XLOOKUP(EF10,対応表!$B:$B,対応表!$C:$C," ")</f>
        <v xml:space="preserve"> </v>
      </c>
      <c r="EH10" s="7" t="s">
        <v>639</v>
      </c>
      <c r="EI10" s="6" t="str">
        <f>_xlfn.XLOOKUP(EH10,対応表!$B:$B,対応表!$C:$C," ")</f>
        <v xml:space="preserve"> </v>
      </c>
      <c r="EJ10" s="7" t="s">
        <v>640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641</v>
      </c>
      <c r="B11" s="7" t="s">
        <v>642</v>
      </c>
      <c r="C11" s="6" t="str">
        <f>_xlfn.XLOOKUP(B11,対応表!$B:$B,対応表!$C:$C,"こ")</f>
        <v>こ</v>
      </c>
      <c r="D11" s="7" t="s">
        <v>643</v>
      </c>
      <c r="E11" s="6" t="str" cm="1">
        <f t="array" ref="E11">_xlfn.XLOOKUP(D11,対応表!$B:B,対応表!$C:C," ")</f>
        <v>あ</v>
      </c>
      <c r="F11" s="7" t="s">
        <v>644</v>
      </c>
      <c r="G11" s="6" t="str">
        <f>_xlfn.XLOOKUP(F11,対応表!$B:$B,対応表!$C:$C," ")</f>
        <v xml:space="preserve"> </v>
      </c>
      <c r="H11" s="7" t="s">
        <v>645</v>
      </c>
      <c r="I11" s="6" t="str">
        <f>_xlfn.XLOOKUP(H11,対応表!$B:$B,対応表!$C:$C," ")</f>
        <v>常</v>
      </c>
      <c r="J11" s="7" t="s">
        <v>646</v>
      </c>
      <c r="K11" s="6" t="str">
        <f>_xlfn.XLOOKUP(J11,対応表!$B:$B,対応表!$C:$C," ")</f>
        <v xml:space="preserve"> </v>
      </c>
      <c r="L11" s="7" t="s">
        <v>647</v>
      </c>
      <c r="M11" s="22" t="str">
        <f>_xlfn.XLOOKUP(L11,対応表!$B:$B,対応表!$C:$C,"さ")</f>
        <v>さ</v>
      </c>
      <c r="N11" s="7" t="s">
        <v>648</v>
      </c>
      <c r="O11" s="6" t="str">
        <f>_xlfn.XLOOKUP(N11,対応表!$B:$B,対応表!$C:$C," ")</f>
        <v xml:space="preserve"> </v>
      </c>
      <c r="P11" s="7" t="s">
        <v>649</v>
      </c>
      <c r="Q11" s="6" t="str">
        <f>_xlfn.XLOOKUP(P11,対応表!$B:$B,対応表!$C:$C," ")</f>
        <v>四?</v>
      </c>
      <c r="R11" s="7" t="s">
        <v>650</v>
      </c>
      <c r="S11" s="6" t="str">
        <f>_xlfn.XLOOKUP(R11,対応表!$B:$B,対応表!$C:$C," ")</f>
        <v xml:space="preserve"> </v>
      </c>
      <c r="T11" s="7" t="s">
        <v>651</v>
      </c>
      <c r="U11" s="6" t="str">
        <f>_xlfn.XLOOKUP(T11,対応表!$B:$B,対応表!$C:$C," ")</f>
        <v>ぜ</v>
      </c>
      <c r="V11" s="7" t="s">
        <v>652</v>
      </c>
      <c r="W11" s="6" t="str">
        <f>_xlfn.XLOOKUP(V11,対応表!$B:$B,対応表!$C:$C," ")</f>
        <v xml:space="preserve"> </v>
      </c>
      <c r="X11" s="7" t="s">
        <v>653</v>
      </c>
      <c r="Y11" s="6" t="str">
        <f>_xlfn.XLOOKUP(X11,対応表!$B:$B,対応表!$C:$C," ")</f>
        <v xml:space="preserve"> </v>
      </c>
      <c r="Z11" s="7" t="s">
        <v>654</v>
      </c>
      <c r="AA11" s="6" t="str">
        <f>_xlfn.XLOOKUP(Z11,対応表!$B:$B,対応表!$C:$C," ")</f>
        <v xml:space="preserve"> </v>
      </c>
      <c r="AB11" s="7" t="s">
        <v>655</v>
      </c>
      <c r="AC11" s="6" t="str">
        <f>_xlfn.XLOOKUP(AB11,対応表!$B:$B,対応表!$C:$C," ")</f>
        <v xml:space="preserve"> </v>
      </c>
      <c r="AD11" s="7" t="s">
        <v>656</v>
      </c>
      <c r="AE11" s="6" t="str">
        <f>_xlfn.XLOOKUP(AD11,対応表!$B:$B,対応表!$C:$C," ")</f>
        <v>早</v>
      </c>
      <c r="AF11" s="7" t="s">
        <v>657</v>
      </c>
      <c r="AG11" s="6" t="str">
        <f>_xlfn.XLOOKUP(AF11,対応表!$B:$B,対応表!$C:$C," ")</f>
        <v xml:space="preserve"> </v>
      </c>
      <c r="AH11" s="7" t="s">
        <v>658</v>
      </c>
      <c r="AI11" s="6" t="str">
        <f>_xlfn.XLOOKUP(AH11,対応表!$B:$B,対応表!$C:$C," ")</f>
        <v xml:space="preserve"> </v>
      </c>
      <c r="AJ11" s="7" t="s">
        <v>659</v>
      </c>
      <c r="AK11" s="6" t="str">
        <f>_xlfn.XLOOKUP(AJ11,対応表!$B:$B,対応表!$C:$C," ")</f>
        <v xml:space="preserve"> </v>
      </c>
      <c r="AL11" s="7" t="s">
        <v>660</v>
      </c>
      <c r="AM11" s="6" t="str">
        <f>_xlfn.XLOOKUP(AL11,対応表!$B:$B,対応表!$C:$C,"っ")</f>
        <v>っ</v>
      </c>
      <c r="AN11" s="7" t="s">
        <v>661</v>
      </c>
      <c r="AO11" s="6" t="str">
        <f>_xlfn.XLOOKUP(AN11,対応表!$B:$B,対応表!$C:$C," ")</f>
        <v xml:space="preserve"> </v>
      </c>
      <c r="AP11" s="7" t="s">
        <v>662</v>
      </c>
      <c r="AQ11" s="6" t="str">
        <f>_xlfn.XLOOKUP(AP11,対応表!$B:$B,対応表!$C:$C," ")</f>
        <v xml:space="preserve"> </v>
      </c>
      <c r="AR11" s="7" t="s">
        <v>663</v>
      </c>
      <c r="AS11" s="6" t="str">
        <f>_xlfn.XLOOKUP(AR11,対応表!$B:$B,対応表!$C:$C," ")</f>
        <v xml:space="preserve"> </v>
      </c>
      <c r="AT11" s="7" t="s">
        <v>664</v>
      </c>
      <c r="AU11" s="6" t="str">
        <f>_xlfn.XLOOKUP(AT11,対応表!$B:$B,対応表!$C:$C," ")</f>
        <v xml:space="preserve"> </v>
      </c>
      <c r="AV11" s="7" t="s">
        <v>665</v>
      </c>
      <c r="AW11" s="6" t="str">
        <f>_xlfn.XLOOKUP(AV11,対応表!$B:$B,対応表!$C:$C," ")</f>
        <v xml:space="preserve"> </v>
      </c>
      <c r="AX11" s="7" t="s">
        <v>666</v>
      </c>
      <c r="AY11" s="6" t="str">
        <f>_xlfn.XLOOKUP(AX11,対応表!$B:$B,対応表!$C:$C," ")</f>
        <v xml:space="preserve"> </v>
      </c>
      <c r="AZ11" s="17" t="s">
        <v>667</v>
      </c>
      <c r="BA11" s="6" t="str">
        <f>_xlfn.XLOOKUP(AZ11,対応表!$B:$B,対応表!$C:$C," ")</f>
        <v xml:space="preserve"> </v>
      </c>
      <c r="BB11" s="7" t="s">
        <v>668</v>
      </c>
      <c r="BC11" s="6" t="str">
        <f>_xlfn.XLOOKUP(BB11,対応表!$B:$B,対応表!$C:$C," ")</f>
        <v xml:space="preserve"> </v>
      </c>
      <c r="BD11" s="7" t="s">
        <v>669</v>
      </c>
      <c r="BE11" s="6" t="str">
        <f>_xlfn.XLOOKUP(BD11,対応表!$B:$B,対応表!$C:$C," ")</f>
        <v xml:space="preserve"> </v>
      </c>
      <c r="BF11" s="7" t="s">
        <v>670</v>
      </c>
      <c r="BG11" s="6" t="str">
        <f>_xlfn.XLOOKUP(BF11,対応表!$B:$B,対応表!$C:$C," ")</f>
        <v xml:space="preserve"> </v>
      </c>
      <c r="BH11" s="7" t="s">
        <v>671</v>
      </c>
      <c r="BI11" s="6" t="str">
        <f>_xlfn.XLOOKUP(BH11,対応表!$B:$B,対応表!$C:$C," ")</f>
        <v xml:space="preserve"> </v>
      </c>
      <c r="BJ11" s="7" t="s">
        <v>672</v>
      </c>
      <c r="BK11" s="6" t="str">
        <f>_xlfn.XLOOKUP(BJ11,対応表!$B:$B,対応表!$C:$C," ")</f>
        <v xml:space="preserve"> </v>
      </c>
      <c r="BL11" s="7" t="s">
        <v>673</v>
      </c>
      <c r="BM11" s="6" t="str">
        <f>_xlfn.XLOOKUP(BL11,対応表!$B:$B,対応表!$C:$C," ")</f>
        <v xml:space="preserve"> </v>
      </c>
      <c r="BN11" s="7" t="s">
        <v>674</v>
      </c>
      <c r="BO11" s="6" t="str">
        <f>_xlfn.XLOOKUP(BN11,対応表!$B:$B,対応表!$C:$C," ")</f>
        <v xml:space="preserve"> </v>
      </c>
      <c r="BP11" s="7" t="s">
        <v>675</v>
      </c>
      <c r="BQ11" s="6" t="str">
        <f>_xlfn.XLOOKUP(BP11,対応表!$B:$B,対応表!$C:$C," ")</f>
        <v xml:space="preserve"> </v>
      </c>
      <c r="BR11" s="7" t="s">
        <v>676</v>
      </c>
      <c r="BS11" s="6" t="str">
        <f>_xlfn.XLOOKUP(BR11,対応表!$B:$B,対応表!$C:$C," ")</f>
        <v>ぷ</v>
      </c>
      <c r="BT11" s="7" t="s">
        <v>677</v>
      </c>
      <c r="BU11" s="6" t="str">
        <f>_xlfn.XLOOKUP(BT11,対応表!$B:$B,対応表!$C:$C," ")</f>
        <v xml:space="preserve"> </v>
      </c>
      <c r="BV11" s="7" t="s">
        <v>678</v>
      </c>
      <c r="BW11" s="6" t="str">
        <f>_xlfn.XLOOKUP(BV11,対応表!$B:$B,対応表!$C:$C," ")</f>
        <v xml:space="preserve"> </v>
      </c>
      <c r="BX11" s="7" t="s">
        <v>679</v>
      </c>
      <c r="BY11" s="6" t="str">
        <f>_xlfn.XLOOKUP(BX11,対応表!$B:$B,対応表!$C:$C," ")</f>
        <v xml:space="preserve"> </v>
      </c>
      <c r="BZ11" s="7" t="s">
        <v>680</v>
      </c>
      <c r="CA11" s="6" t="str">
        <f>_xlfn.XLOOKUP(BZ11,対応表!$B:$B,対応表!$C:$C," ")</f>
        <v xml:space="preserve"> </v>
      </c>
      <c r="CB11" s="7" t="s">
        <v>681</v>
      </c>
      <c r="CC11" s="6" t="str">
        <f>_xlfn.XLOOKUP(CB11,対応表!$B:$B,対応表!$C:$C," ")</f>
        <v xml:space="preserve"> </v>
      </c>
      <c r="CD11" s="7" t="s">
        <v>682</v>
      </c>
      <c r="CE11" s="6" t="str">
        <f>_xlfn.XLOOKUP(CD11,対応表!$B:$B,対応表!$C:$C," ")</f>
        <v xml:space="preserve"> </v>
      </c>
      <c r="CF11" s="7" t="s">
        <v>683</v>
      </c>
      <c r="CG11" s="6" t="str">
        <f>_xlfn.XLOOKUP(CF11,対応表!$B:$B,対応表!$C:$C," ")</f>
        <v>区</v>
      </c>
      <c r="CH11" s="7" t="s">
        <v>684</v>
      </c>
      <c r="CI11" s="6" t="str">
        <f>_xlfn.XLOOKUP(CH11,対応表!$B:$B,対応表!$C:$C," ")</f>
        <v xml:space="preserve"> </v>
      </c>
      <c r="CJ11" s="7" t="s">
        <v>685</v>
      </c>
      <c r="CK11" s="6" t="str">
        <f>_xlfn.XLOOKUP(CJ11,対応表!$B:$B,対応表!$C:$C," ")</f>
        <v xml:space="preserve"> </v>
      </c>
      <c r="CL11" s="7" t="s">
        <v>686</v>
      </c>
      <c r="CM11" s="6" t="str">
        <f>_xlfn.XLOOKUP(CL11,対応表!$B:$B,対応表!$C:$C," ")</f>
        <v xml:space="preserve"> </v>
      </c>
      <c r="CN11" s="7" t="s">
        <v>687</v>
      </c>
      <c r="CO11" s="6" t="str">
        <f>_xlfn.XLOOKUP(CN11,対応表!$B:$B,対応表!$C:$C," ")</f>
        <v xml:space="preserve"> </v>
      </c>
      <c r="CP11" s="7" t="s">
        <v>688</v>
      </c>
      <c r="CQ11" s="6" t="str">
        <f>_xlfn.XLOOKUP(CP11,対応表!$B:$B,対応表!$C:$C,"く")</f>
        <v>く</v>
      </c>
      <c r="CR11" s="7" t="s">
        <v>689</v>
      </c>
      <c r="CS11" s="6" t="str">
        <f>_xlfn.XLOOKUP(CR11,対応表!$B:$B,対応表!$C:$C," ")</f>
        <v xml:space="preserve"> </v>
      </c>
      <c r="CT11" s="7" t="s">
        <v>690</v>
      </c>
      <c r="CU11" s="6" t="str">
        <f>_xlfn.XLOOKUP(CT11,対応表!$B:$B,対応表!$C:$C," ")</f>
        <v xml:space="preserve"> </v>
      </c>
      <c r="CV11" s="7" t="s">
        <v>691</v>
      </c>
      <c r="CW11" s="6" t="str">
        <f>_xlfn.XLOOKUP(CV11,対応表!$B:$B,対応表!$C:$C," ")</f>
        <v xml:space="preserve"> </v>
      </c>
      <c r="CX11" s="7" t="s">
        <v>692</v>
      </c>
      <c r="CY11" s="6" t="str">
        <f>_xlfn.XLOOKUP(CX11,対応表!$B:$B,対応表!$C:$C," ")</f>
        <v xml:space="preserve"> </v>
      </c>
      <c r="CZ11" s="7" t="s">
        <v>693</v>
      </c>
      <c r="DA11" s="6" t="str">
        <f>_xlfn.XLOOKUP(CZ11,対応表!$B:$B,対応表!$C:$C," ")</f>
        <v>録</v>
      </c>
      <c r="DB11" s="7" t="s">
        <v>694</v>
      </c>
      <c r="DC11" s="6" t="str">
        <f>_xlfn.XLOOKUP(DB11,対応表!$B:$B,対応表!$C:$C," ")</f>
        <v>時</v>
      </c>
      <c r="DD11" s="7" t="s">
        <v>695</v>
      </c>
      <c r="DE11" s="6" t="str">
        <f>_xlfn.XLOOKUP(DD11,対応表!$B:$B,対応表!$C:$C," ")</f>
        <v>べ</v>
      </c>
      <c r="DF11" s="7" t="s">
        <v>696</v>
      </c>
      <c r="DG11" s="6" t="str">
        <f>_xlfn.XLOOKUP(DF11,対応表!$B:$B,対応表!$C:$C," ")</f>
        <v xml:space="preserve"> </v>
      </c>
      <c r="DH11" s="7" t="s">
        <v>697</v>
      </c>
      <c r="DI11" s="6" t="str">
        <f>_xlfn.XLOOKUP(DH11,対応表!$B:$B,対応表!$C:$C," ")</f>
        <v xml:space="preserve"> </v>
      </c>
      <c r="DJ11" s="7" t="s">
        <v>698</v>
      </c>
      <c r="DK11" s="6" t="str">
        <f>_xlfn.XLOOKUP(DJ11,対応表!$B:$B,対応表!$C:$C," ")</f>
        <v xml:space="preserve"> </v>
      </c>
      <c r="DL11" s="7" t="s">
        <v>699</v>
      </c>
      <c r="DM11" s="6" t="str">
        <f>_xlfn.XLOOKUP(DL11,対応表!$B:$B,対応表!$C:$C," ")</f>
        <v>集?</v>
      </c>
      <c r="DN11" s="7" t="s">
        <v>700</v>
      </c>
      <c r="DO11" s="6" t="str">
        <f>_xlfn.XLOOKUP(DN11,対応表!$B:$B,対応表!$C:$C," ")</f>
        <v xml:space="preserve"> </v>
      </c>
      <c r="DP11" s="7" t="s">
        <v>701</v>
      </c>
      <c r="DQ11" s="6" t="str">
        <f>_xlfn.XLOOKUP(DP11,対応表!$B:$B,対応表!$C:$C," ")</f>
        <v xml:space="preserve"> </v>
      </c>
      <c r="DR11" s="7" t="s">
        <v>702</v>
      </c>
      <c r="DS11" s="6" t="str">
        <f>_xlfn.XLOOKUP(DR11,対応表!$B:$B,対応表!$C:$C," ")</f>
        <v xml:space="preserve"> </v>
      </c>
      <c r="DT11" s="7" t="s">
        <v>703</v>
      </c>
      <c r="DU11" s="6" t="str">
        <f>_xlfn.XLOOKUP(DT11,対応表!$B:$B,対応表!$C:$C," ")</f>
        <v xml:space="preserve"> </v>
      </c>
      <c r="DV11" s="7" t="s">
        <v>704</v>
      </c>
      <c r="DW11" s="6" t="str">
        <f>_xlfn.XLOOKUP(DV11,対応表!$B:$B,対応表!$C:$C," ")</f>
        <v xml:space="preserve"> </v>
      </c>
      <c r="DX11" s="7" t="s">
        <v>705</v>
      </c>
      <c r="DY11" s="6" t="str">
        <f>_xlfn.XLOOKUP(DX11,対応表!$B:$B,対応表!$C:$C," ")</f>
        <v xml:space="preserve"> </v>
      </c>
      <c r="DZ11" s="7" t="s">
        <v>706</v>
      </c>
      <c r="EA11" s="6" t="str">
        <f>_xlfn.XLOOKUP(DZ11,対応表!$B:$B,対応表!$C:$C," ")</f>
        <v xml:space="preserve"> </v>
      </c>
      <c r="EB11" s="7" t="s">
        <v>707</v>
      </c>
      <c r="EC11" s="6" t="str">
        <f>_xlfn.XLOOKUP(EB11,対応表!$B:$B,対応表!$C:$C," ")</f>
        <v xml:space="preserve"> </v>
      </c>
      <c r="ED11" s="17" t="s">
        <v>708</v>
      </c>
      <c r="EE11" s="6" t="str">
        <f>_xlfn.XLOOKUP(ED11,対応表!$B:$B,対応表!$C:$C," ")</f>
        <v>特?</v>
      </c>
      <c r="EF11" s="7" t="s">
        <v>709</v>
      </c>
      <c r="EG11" s="6" t="str">
        <f>_xlfn.XLOOKUP(EF11,対応表!$B:$B,対応表!$C:$C," ")</f>
        <v xml:space="preserve"> </v>
      </c>
      <c r="EH11" s="7" t="s">
        <v>710</v>
      </c>
      <c r="EI11" s="6" t="str">
        <f>_xlfn.XLOOKUP(EH11,対応表!$B:$B,対応表!$C:$C," ")</f>
        <v xml:space="preserve"> </v>
      </c>
      <c r="EJ11" s="7" t="s">
        <v>711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712</v>
      </c>
      <c r="B12" s="7" t="s">
        <v>713</v>
      </c>
      <c r="C12" s="6" t="str">
        <f>_xlfn.XLOOKUP(B12,対応表!$B:$B,対応表!$C:$C," ")</f>
        <v>の</v>
      </c>
      <c r="D12" s="7" t="s">
        <v>714</v>
      </c>
      <c r="E12" s="6" t="str" cm="1">
        <f t="array" ref="E12">_xlfn.XLOOKUP(D12,対応表!$B:B,対応表!$C:C," ")</f>
        <v>り</v>
      </c>
      <c r="F12" s="7" t="s">
        <v>715</v>
      </c>
      <c r="G12" s="6" t="str">
        <f>_xlfn.XLOOKUP(F12,対応表!$B:$B,対応表!$C:$C," ")</f>
        <v xml:space="preserve"> </v>
      </c>
      <c r="H12" s="7" t="s">
        <v>716</v>
      </c>
      <c r="I12" s="6" t="str">
        <f>_xlfn.XLOOKUP(H12,対応表!$B:$B,対応表!$C:$C,"に")</f>
        <v>に</v>
      </c>
      <c r="J12" s="7" t="s">
        <v>717</v>
      </c>
      <c r="K12" s="6" t="str">
        <f>_xlfn.XLOOKUP(J12,対応表!$B:$B,対応表!$C:$C," ")</f>
        <v xml:space="preserve"> </v>
      </c>
      <c r="L12" s="7" t="s">
        <v>719</v>
      </c>
      <c r="M12" s="22" t="str">
        <f>_xlfn.XLOOKUP(L12,対応表!$B:$B,対応表!$C:$C,"れ")</f>
        <v>れ</v>
      </c>
      <c r="N12" s="7" t="s">
        <v>720</v>
      </c>
      <c r="O12" s="6" t="str">
        <f>_xlfn.XLOOKUP(N12,対応表!$B:$B,対応表!$C:$C," ")</f>
        <v xml:space="preserve"> </v>
      </c>
      <c r="P12" s="7" t="s">
        <v>721</v>
      </c>
      <c r="Q12" s="6" t="str">
        <f>_xlfn.XLOOKUP(P12,対応表!$B:$B,対応表!$C:$C," ")</f>
        <v xml:space="preserve"> </v>
      </c>
      <c r="R12" s="7" t="s">
        <v>722</v>
      </c>
      <c r="S12" s="6" t="str">
        <f>_xlfn.XLOOKUP(R12,対応表!$B:$B,対応表!$C:$C," ")</f>
        <v>ふ</v>
      </c>
      <c r="T12" s="7" t="s">
        <v>724</v>
      </c>
      <c r="U12" s="6" t="str">
        <f>_xlfn.XLOOKUP(T12,対応表!$B:$B,対応表!$C:$C," ")</f>
        <v xml:space="preserve"> </v>
      </c>
      <c r="V12" s="7" t="s">
        <v>725</v>
      </c>
      <c r="W12" s="6" t="str">
        <f>_xlfn.XLOOKUP(V12,対応表!$B:$B,対応表!$C:$C," ")</f>
        <v>異?</v>
      </c>
      <c r="X12" s="7" t="s">
        <v>726</v>
      </c>
      <c r="Y12" s="6" t="str">
        <f>_xlfn.XLOOKUP(X12,対応表!$B:$B,対応表!$C:$C," ")</f>
        <v xml:space="preserve"> </v>
      </c>
      <c r="Z12" s="7" t="s">
        <v>727</v>
      </c>
      <c r="AA12" s="6" t="str">
        <f>_xlfn.XLOOKUP(Z12,対応表!$B:$B,対応表!$C:$C," ")</f>
        <v xml:space="preserve"> </v>
      </c>
      <c r="AB12" s="7" t="s">
        <v>728</v>
      </c>
      <c r="AC12" s="6" t="str">
        <f>_xlfn.XLOOKUP(AB12,対応表!$B:$B,対応表!$C:$C," ")</f>
        <v xml:space="preserve"> </v>
      </c>
      <c r="AD12" s="7" t="s">
        <v>729</v>
      </c>
      <c r="AE12" s="6" t="str">
        <f>_xlfn.XLOOKUP(AD12,対応表!$B:$B,対応表!$C:$C," ")</f>
        <v xml:space="preserve"> </v>
      </c>
      <c r="AF12" s="7" t="s">
        <v>730</v>
      </c>
      <c r="AG12" s="6" t="str">
        <f>_xlfn.XLOOKUP(AF12,対応表!$B:$B,対応表!$C:$C," ")</f>
        <v xml:space="preserve"> </v>
      </c>
      <c r="AH12" s="7" t="s">
        <v>731</v>
      </c>
      <c r="AI12" s="6" t="str">
        <f>_xlfn.XLOOKUP(AH12,対応表!$B:$B,対応表!$C:$C," ")</f>
        <v xml:space="preserve"> </v>
      </c>
      <c r="AJ12" s="7" t="s">
        <v>732</v>
      </c>
      <c r="AK12" s="6" t="str">
        <f>_xlfn.XLOOKUP(AJ12,対応表!$B:$B,対応表!$C:$C," ")</f>
        <v xml:space="preserve"> </v>
      </c>
      <c r="AL12" s="7" t="s">
        <v>733</v>
      </c>
      <c r="AM12" s="6" t="str">
        <f>_xlfn.XLOOKUP(AL12,対応表!$B:$B,対応表!$C:$C,"て")</f>
        <v>て</v>
      </c>
      <c r="AN12" s="7" t="s">
        <v>734</v>
      </c>
      <c r="AO12" s="6" t="str">
        <f>_xlfn.XLOOKUP(AN12,対応表!$B:$B,対応表!$C:$C," ")</f>
        <v xml:space="preserve"> </v>
      </c>
      <c r="AP12" s="7" t="s">
        <v>735</v>
      </c>
      <c r="AQ12" s="6" t="str">
        <f>_xlfn.XLOOKUP(AP12,対応表!$B:$B,対応表!$C:$C," ")</f>
        <v xml:space="preserve"> </v>
      </c>
      <c r="AR12" s="7" t="s">
        <v>736</v>
      </c>
      <c r="AS12" s="6" t="str">
        <f>_xlfn.XLOOKUP(AR12,対応表!$B:$B,対応表!$C:$C," ")</f>
        <v xml:space="preserve"> </v>
      </c>
      <c r="AT12" s="7" t="s">
        <v>737</v>
      </c>
      <c r="AU12" s="6" t="str">
        <f>_xlfn.XLOOKUP(AT12,対応表!$B:$B,対応表!$C:$C," ")</f>
        <v xml:space="preserve"> </v>
      </c>
      <c r="AV12" s="7" t="s">
        <v>738</v>
      </c>
      <c r="AW12" s="6" t="str">
        <f>_xlfn.XLOOKUP(AV12,対応表!$B:$B,対応表!$C:$C," ")</f>
        <v xml:space="preserve"> </v>
      </c>
      <c r="AX12" s="7" t="s">
        <v>739</v>
      </c>
      <c r="AY12" s="6" t="str">
        <f>_xlfn.XLOOKUP(AX12,対応表!$B:$B,対応表!$C:$C," ")</f>
        <v xml:space="preserve"> </v>
      </c>
      <c r="AZ12" s="7" t="s">
        <v>740</v>
      </c>
      <c r="BA12" s="6" t="str">
        <f>_xlfn.XLOOKUP(AZ12,対応表!$B:$B,対応表!$C:$C," ")</f>
        <v xml:space="preserve"> </v>
      </c>
      <c r="BB12" s="17" t="s">
        <v>741</v>
      </c>
      <c r="BC12" s="6" t="str">
        <f>_xlfn.XLOOKUP(BB12,対応表!$B:$B,対応表!$C:$C," ")</f>
        <v>見</v>
      </c>
      <c r="BD12" s="7" t="s">
        <v>742</v>
      </c>
      <c r="BE12" s="6" t="str">
        <f>_xlfn.XLOOKUP(BD12,対応表!$B:$B,対応表!$C:$C," ")</f>
        <v xml:space="preserve"> </v>
      </c>
      <c r="BF12" s="7" t="s">
        <v>743</v>
      </c>
      <c r="BG12" s="6" t="str">
        <f>_xlfn.XLOOKUP(BF12,対応表!$B:$B,対応表!$C:$C," ")</f>
        <v xml:space="preserve"> </v>
      </c>
      <c r="BH12" s="7" t="s">
        <v>744</v>
      </c>
      <c r="BI12" s="6" t="str">
        <f>_xlfn.XLOOKUP(BH12,対応表!$B:$B,対応表!$C:$C," ")</f>
        <v xml:space="preserve"> </v>
      </c>
      <c r="BJ12" s="7" t="s">
        <v>745</v>
      </c>
      <c r="BK12" s="6" t="str">
        <f>_xlfn.XLOOKUP(BJ12,対応表!$B:$B,対応表!$C:$C," ")</f>
        <v xml:space="preserve"> </v>
      </c>
      <c r="BL12" s="17" t="s">
        <v>746</v>
      </c>
      <c r="BM12" s="6" t="str">
        <f>_xlfn.XLOOKUP(BL12,対応表!$B:$B,対応表!$C:$C," ")</f>
        <v xml:space="preserve"> </v>
      </c>
      <c r="BN12" s="7" t="s">
        <v>747</v>
      </c>
      <c r="BO12" s="6" t="str">
        <f>_xlfn.XLOOKUP(BN12,対応表!$B:$B,対応表!$C:$C," ")</f>
        <v xml:space="preserve"> </v>
      </c>
      <c r="BP12" s="7" t="s">
        <v>748</v>
      </c>
      <c r="BQ12" s="6" t="str">
        <f>_xlfn.XLOOKUP(BP12,対応表!$B:$B,対応表!$C:$C," ")</f>
        <v xml:space="preserve"> </v>
      </c>
      <c r="BR12" s="7" t="s">
        <v>749</v>
      </c>
      <c r="BS12" s="6" t="str">
        <f>_xlfn.XLOOKUP(BR12,対応表!$B:$B,対応表!$C:$C," ")</f>
        <v xml:space="preserve"> </v>
      </c>
      <c r="BT12" s="7" t="s">
        <v>750</v>
      </c>
      <c r="BU12" s="6" t="str">
        <f>_xlfn.XLOOKUP(BT12,対応表!$B:$B,対応表!$C:$C," ")</f>
        <v xml:space="preserve"> </v>
      </c>
      <c r="BV12" s="7" t="s">
        <v>751</v>
      </c>
      <c r="BW12" s="6" t="str">
        <f>_xlfn.XLOOKUP(BV12,対応表!$B:$B,対応表!$C:$C," ")</f>
        <v xml:space="preserve"> </v>
      </c>
      <c r="BX12" s="7" t="s">
        <v>752</v>
      </c>
      <c r="BY12" s="6" t="str">
        <f>_xlfn.XLOOKUP(BX12,対応表!$B:$B,対応表!$C:$C," ")</f>
        <v>最</v>
      </c>
      <c r="BZ12" s="7" t="s">
        <v>753</v>
      </c>
      <c r="CA12" s="6" t="str">
        <f>_xlfn.XLOOKUP(BZ12,対応表!$B:$B,対応表!$C:$C," ")</f>
        <v xml:space="preserve"> </v>
      </c>
      <c r="CB12" s="7" t="s">
        <v>754</v>
      </c>
      <c r="CC12" s="6" t="str">
        <f>_xlfn.XLOOKUP(CB12,対応表!$B:$B,対応表!$C:$C," ")</f>
        <v xml:space="preserve"> </v>
      </c>
      <c r="CD12" s="7" t="s">
        <v>755</v>
      </c>
      <c r="CE12" s="6" t="str">
        <f>_xlfn.XLOOKUP(CD12,対応表!$B:$B,対応表!$C:$C," ")</f>
        <v xml:space="preserve"> </v>
      </c>
      <c r="CF12" s="7" t="s">
        <v>756</v>
      </c>
      <c r="CG12" s="6" t="str">
        <f>_xlfn.XLOOKUP(CF12,対応表!$B:$B,対応表!$C:$C," ")</f>
        <v>別?</v>
      </c>
      <c r="CH12" s="7" t="s">
        <v>757</v>
      </c>
      <c r="CI12" s="6" t="str">
        <f>_xlfn.XLOOKUP(CH12,対応表!$B:$B,対応表!$C:$C," ")</f>
        <v xml:space="preserve"> </v>
      </c>
      <c r="CJ12" s="7" t="s">
        <v>758</v>
      </c>
      <c r="CK12" s="6" t="str">
        <f>_xlfn.XLOOKUP(CJ12,対応表!$B:$B,対応表!$C:$C," ")</f>
        <v xml:space="preserve"> </v>
      </c>
      <c r="CL12" s="7" t="s">
        <v>759</v>
      </c>
      <c r="CM12" s="6" t="str">
        <f>_xlfn.XLOOKUP(CL12,対応表!$B:$B,対応表!$C:$C," ")</f>
        <v xml:space="preserve"> </v>
      </c>
      <c r="CN12" s="7" t="s">
        <v>760</v>
      </c>
      <c r="CO12" s="6" t="str">
        <f>_xlfn.XLOOKUP(CN12,対応表!$B:$B,対応表!$C:$C," ")</f>
        <v xml:space="preserve"> </v>
      </c>
      <c r="CP12" s="17" t="s">
        <v>761</v>
      </c>
      <c r="CQ12" s="6" t="str">
        <f>_xlfn.XLOOKUP(CP12,対応表!$B:$B,対応表!$C:$C," ")</f>
        <v>命</v>
      </c>
      <c r="CR12" s="7" t="s">
        <v>762</v>
      </c>
      <c r="CS12" s="6" t="str">
        <f>_xlfn.XLOOKUP(CR12,対応表!$B:$B,対応表!$C:$C," ")</f>
        <v xml:space="preserve"> </v>
      </c>
      <c r="CT12" s="7" t="s">
        <v>763</v>
      </c>
      <c r="CU12" s="6" t="str">
        <f>_xlfn.XLOOKUP(CT12,対応表!$B:$B,対応表!$C:$C," ")</f>
        <v xml:space="preserve"> </v>
      </c>
      <c r="CV12" s="7" t="s">
        <v>764</v>
      </c>
      <c r="CW12" s="6" t="str">
        <f>_xlfn.XLOOKUP(CV12,対応表!$B:$B,対応表!$C:$C," ")</f>
        <v xml:space="preserve"> </v>
      </c>
      <c r="CX12" s="7" t="s">
        <v>765</v>
      </c>
      <c r="CY12" s="6" t="str">
        <f>_xlfn.XLOOKUP(CX12,対応表!$B:$B,対応表!$C:$C," ")</f>
        <v xml:space="preserve"> </v>
      </c>
      <c r="CZ12" s="17" t="s">
        <v>766</v>
      </c>
      <c r="DA12" s="6" t="str">
        <f>_xlfn.XLOOKUP(CZ12,対応表!$B:$B,対応表!$C:$C," ")</f>
        <v xml:space="preserve"> </v>
      </c>
      <c r="DB12" s="7" t="s">
        <v>767</v>
      </c>
      <c r="DC12" s="6" t="str">
        <f>_xlfn.XLOOKUP(DB12,対応表!$B:$B,対応表!$C:$C," ")</f>
        <v xml:space="preserve"> </v>
      </c>
      <c r="DD12" s="7" t="s">
        <v>768</v>
      </c>
      <c r="DE12" s="6" t="str">
        <f>_xlfn.XLOOKUP(DD12,対応表!$B:$B,対応表!$C:$C," ")</f>
        <v xml:space="preserve"> </v>
      </c>
      <c r="DF12" s="7" t="s">
        <v>769</v>
      </c>
      <c r="DG12" s="6" t="str">
        <f>_xlfn.XLOOKUP(DF12,対応表!$B:$B,対応表!$C:$C," ")</f>
        <v xml:space="preserve"> </v>
      </c>
      <c r="DH12" s="7" t="s">
        <v>770</v>
      </c>
      <c r="DI12" s="6" t="str">
        <f>_xlfn.XLOOKUP(DH12,対応表!$B:$B,対応表!$C:$C," ")</f>
        <v xml:space="preserve"> </v>
      </c>
      <c r="DJ12" s="7" t="s">
        <v>771</v>
      </c>
      <c r="DK12" s="6" t="str">
        <f>_xlfn.XLOOKUP(DJ12,対応表!$B:$B,対応表!$C:$C," ")</f>
        <v xml:space="preserve"> </v>
      </c>
      <c r="DL12" s="7" t="s">
        <v>772</v>
      </c>
      <c r="DM12" s="6" t="str">
        <f>_xlfn.XLOOKUP(DL12,対応表!$B:$B,対応表!$C:$C," ")</f>
        <v xml:space="preserve"> </v>
      </c>
      <c r="DN12" s="7" t="s">
        <v>773</v>
      </c>
      <c r="DO12" s="6" t="str">
        <f>_xlfn.XLOOKUP(DN12,対応表!$B:$B,対応表!$C:$C," ")</f>
        <v xml:space="preserve"> </v>
      </c>
      <c r="DP12" s="7" t="s">
        <v>774</v>
      </c>
      <c r="DQ12" s="6" t="str">
        <f>_xlfn.XLOOKUP(DP12,対応表!$B:$B,対応表!$C:$C," ")</f>
        <v xml:space="preserve"> </v>
      </c>
      <c r="DR12" s="7" t="s">
        <v>775</v>
      </c>
      <c r="DS12" s="6" t="str">
        <f>_xlfn.XLOOKUP(DR12,対応表!$B:$B,対応表!$C:$C," ")</f>
        <v xml:space="preserve"> </v>
      </c>
      <c r="DT12" s="7" t="s">
        <v>776</v>
      </c>
      <c r="DU12" s="6" t="str">
        <f>_xlfn.XLOOKUP(DT12,対応表!$B:$B,対応表!$C:$C," ")</f>
        <v>思</v>
      </c>
      <c r="DV12" s="7" t="s">
        <v>777</v>
      </c>
      <c r="DW12" s="6" t="str">
        <f>_xlfn.XLOOKUP(DV12,対応表!$B:$B,対応表!$C:$C," ")</f>
        <v xml:space="preserve"> </v>
      </c>
      <c r="DX12" s="7" t="s">
        <v>778</v>
      </c>
      <c r="DY12" s="6" t="str">
        <f>_xlfn.XLOOKUP(DX12,対応表!$B:$B,対応表!$C:$C," ")</f>
        <v>限?</v>
      </c>
      <c r="DZ12" s="7" t="s">
        <v>779</v>
      </c>
      <c r="EA12" s="6" t="str">
        <f>_xlfn.XLOOKUP(DZ12,対応表!$B:$B,対応表!$C:$C," ")</f>
        <v xml:space="preserve"> </v>
      </c>
      <c r="EB12" s="7" t="s">
        <v>780</v>
      </c>
      <c r="EC12" s="6" t="str">
        <f>_xlfn.XLOOKUP(EB12,対応表!$B:$B,対応表!$C:$C," ")</f>
        <v xml:space="preserve"> </v>
      </c>
      <c r="ED12" s="17" t="s">
        <v>781</v>
      </c>
      <c r="EE12" s="6" t="str">
        <f>_xlfn.XLOOKUP(ED12,対応表!$B:$B,対応表!$C:$C," ")</f>
        <v xml:space="preserve"> </v>
      </c>
      <c r="EF12" s="7" t="s">
        <v>782</v>
      </c>
      <c r="EG12" s="6" t="str">
        <f>_xlfn.XLOOKUP(EF12,対応表!$B:$B,対応表!$C:$C," ")</f>
        <v xml:space="preserve"> </v>
      </c>
      <c r="EH12" s="7" t="s">
        <v>783</v>
      </c>
      <c r="EI12" s="6" t="str">
        <f>_xlfn.XLOOKUP(EH12,対応表!$B:$B,対応表!$C:$C," ")</f>
        <v xml:space="preserve"> </v>
      </c>
      <c r="EJ12" s="7" t="s">
        <v>784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785</v>
      </c>
      <c r="B13" s="7" t="s">
        <v>786</v>
      </c>
      <c r="C13" s="6" t="str">
        <f>_xlfn.XLOOKUP(B13,対応表!$B:$B,対応表!$C:$C,"不")</f>
        <v>不</v>
      </c>
      <c r="D13" s="7" t="s">
        <v>787</v>
      </c>
      <c r="E13" s="6" t="str" cm="1">
        <f t="array" ref="E13">_xlfn.XLOOKUP(D13,対応表!$B:B,対応表!$C:C," ")</f>
        <v>受</v>
      </c>
      <c r="F13" s="7" t="s">
        <v>788</v>
      </c>
      <c r="G13" s="6" t="str">
        <f>_xlfn.XLOOKUP(F13,対応表!$B:$B,対応表!$C:$C," ")</f>
        <v xml:space="preserve"> </v>
      </c>
      <c r="H13" s="7" t="s">
        <v>789</v>
      </c>
      <c r="I13" s="6" t="str">
        <f>_xlfn.XLOOKUP(H13,対応表!$B:$B,対応表!$C:$C," ")</f>
        <v>深?</v>
      </c>
      <c r="J13" s="7" t="s">
        <v>790</v>
      </c>
      <c r="K13" s="6" t="str">
        <f>_xlfn.XLOOKUP(J13,対応表!$B:$B,対応表!$C:$C," ")</f>
        <v xml:space="preserve"> </v>
      </c>
      <c r="L13" s="7" t="s">
        <v>791</v>
      </c>
      <c r="M13" s="22" t="str">
        <f>_xlfn.XLOOKUP(L13,対応表!$B:$B,対応表!$C:$C,"た")</f>
        <v>た</v>
      </c>
      <c r="N13" s="7" t="s">
        <v>792</v>
      </c>
      <c r="O13" s="6" t="str">
        <f>_xlfn.XLOOKUP(N13,対応表!$B:$B,対応表!$C:$C," ")</f>
        <v xml:space="preserve"> </v>
      </c>
      <c r="P13" s="7" t="s">
        <v>793</v>
      </c>
      <c r="Q13" s="6" t="str">
        <f>_xlfn.XLOOKUP(P13,対応表!$B:$B,対応表!$C:$C," ")</f>
        <v xml:space="preserve"> </v>
      </c>
      <c r="R13" s="7" t="s">
        <v>794</v>
      </c>
      <c r="S13" s="6" t="str">
        <f>_xlfn.XLOOKUP(R13,対応表!$B:$B,対応表!$C:$C," ")</f>
        <v xml:space="preserve"> </v>
      </c>
      <c r="T13" s="7" t="s">
        <v>795</v>
      </c>
      <c r="U13" s="6" t="str">
        <f>_xlfn.XLOOKUP(T13,対応表!$B:$B,対応表!$C:$C," ")</f>
        <v>防?</v>
      </c>
      <c r="V13" s="7" t="s">
        <v>796</v>
      </c>
      <c r="W13" s="6" t="str">
        <f>_xlfn.XLOOKUP(V13,対応表!$B:$B,対応表!$C:$C," ")</f>
        <v>形</v>
      </c>
      <c r="X13" s="7" t="s">
        <v>797</v>
      </c>
      <c r="Y13" s="6" t="str">
        <f>_xlfn.XLOOKUP(X13,対応表!$B:$B,対応表!$C:$C," ")</f>
        <v xml:space="preserve"> </v>
      </c>
      <c r="Z13" s="7" t="s">
        <v>798</v>
      </c>
      <c r="AA13" s="6" t="str">
        <f>_xlfn.XLOOKUP(Z13,対応表!$B:$B,対応表!$C:$C," ")</f>
        <v xml:space="preserve"> </v>
      </c>
      <c r="AB13" s="17" t="s">
        <v>799</v>
      </c>
      <c r="AC13" s="6" t="str">
        <f>_xlfn.XLOOKUP(AB13,対応表!$B:$B,対応表!$C:$C," ")</f>
        <v xml:space="preserve"> </v>
      </c>
      <c r="AD13" s="7" t="s">
        <v>800</v>
      </c>
      <c r="AE13" s="6" t="str">
        <f>_xlfn.XLOOKUP(AD13,対応表!$B:$B,対応表!$C:$C," ")</f>
        <v xml:space="preserve"> </v>
      </c>
      <c r="AF13" s="7" t="s">
        <v>801</v>
      </c>
      <c r="AG13" s="6" t="str">
        <f>_xlfn.XLOOKUP(AF13,対応表!$B:$B,対応表!$C:$C," ")</f>
        <v xml:space="preserve"> </v>
      </c>
      <c r="AH13" s="7" t="s">
        <v>802</v>
      </c>
      <c r="AI13" s="6" t="str">
        <f>_xlfn.XLOOKUP(AH13,対応表!$B:$B,対応表!$C:$C," ")</f>
        <v xml:space="preserve"> </v>
      </c>
      <c r="AJ13" s="7" t="s">
        <v>803</v>
      </c>
      <c r="AK13" s="6" t="str">
        <f>_xlfn.XLOOKUP(AJ13,対応表!$B:$B,対応表!$C:$C," ")</f>
        <v xml:space="preserve"> </v>
      </c>
      <c r="AL13" s="7" t="s">
        <v>804</v>
      </c>
      <c r="AM13" s="6" t="str">
        <f>_xlfn.XLOOKUP(AL13,対応表!$B:$B,対応表!$C:$C," ")</f>
        <v>食</v>
      </c>
      <c r="AN13" s="7" t="s">
        <v>805</v>
      </c>
      <c r="AO13" s="6" t="str">
        <f>_xlfn.XLOOKUP(AN13,対応表!$B:$B,対応表!$C:$C," ")</f>
        <v xml:space="preserve"> </v>
      </c>
      <c r="AP13" s="7" t="s">
        <v>806</v>
      </c>
      <c r="AQ13" s="6" t="str">
        <f>_xlfn.XLOOKUP(AP13,対応表!$B:$B,対応表!$C:$C," ")</f>
        <v>越?</v>
      </c>
      <c r="AR13" s="7" t="s">
        <v>807</v>
      </c>
      <c r="AS13" s="6" t="str">
        <f>_xlfn.XLOOKUP(AR13,対応表!$B:$B,対応表!$C:$C," ")</f>
        <v xml:space="preserve"> </v>
      </c>
      <c r="AT13" s="7" t="s">
        <v>808</v>
      </c>
      <c r="AU13" s="6" t="str">
        <f>_xlfn.XLOOKUP(AT13,対応表!$B:$B,対応表!$C:$C," ")</f>
        <v>込</v>
      </c>
      <c r="AV13" s="7" t="s">
        <v>809</v>
      </c>
      <c r="AW13" s="6" t="str">
        <f>_xlfn.XLOOKUP(AV13,対応表!$B:$B,対応表!$C:$C," ")</f>
        <v xml:space="preserve"> </v>
      </c>
      <c r="AX13" s="7" t="s">
        <v>810</v>
      </c>
      <c r="AY13" s="6" t="str">
        <f>_xlfn.XLOOKUP(AX13,対応表!$B:$B,対応表!$C:$C," ")</f>
        <v xml:space="preserve"> </v>
      </c>
      <c r="AZ13" s="7" t="s">
        <v>811</v>
      </c>
      <c r="BA13" s="6" t="str">
        <f>_xlfn.XLOOKUP(AZ13,対応表!$B:$B,対応表!$C:$C," ")</f>
        <v xml:space="preserve"> </v>
      </c>
      <c r="BB13" s="7" t="s">
        <v>812</v>
      </c>
      <c r="BC13" s="6" t="str">
        <f>_xlfn.XLOOKUP(BB13,対応表!$B:$B,対応表!$C:$C," ")</f>
        <v xml:space="preserve"> </v>
      </c>
      <c r="BD13" s="7" t="s">
        <v>813</v>
      </c>
      <c r="BE13" s="6" t="str">
        <f>_xlfn.XLOOKUP(BD13,対応表!$B:$B,対応表!$C:$C," ")</f>
        <v xml:space="preserve"> </v>
      </c>
      <c r="BF13" s="7" t="s">
        <v>814</v>
      </c>
      <c r="BG13" s="6" t="str">
        <f>_xlfn.XLOOKUP(BF13,対応表!$B:$B,対応表!$C:$C," ")</f>
        <v xml:space="preserve"> </v>
      </c>
      <c r="BH13" s="7" t="s">
        <v>815</v>
      </c>
      <c r="BI13" s="6" t="str">
        <f>_xlfn.XLOOKUP(BH13,対応表!$B:$B,対応表!$C:$C," ")</f>
        <v xml:space="preserve"> </v>
      </c>
      <c r="BJ13" s="7" t="s">
        <v>816</v>
      </c>
      <c r="BK13" s="6" t="str">
        <f>_xlfn.XLOOKUP(BJ13,対応表!$B:$B,対応表!$C:$C," ")</f>
        <v>多</v>
      </c>
      <c r="BL13" s="7" t="s">
        <v>817</v>
      </c>
      <c r="BM13" s="6" t="str">
        <f>_xlfn.XLOOKUP(BL13,対応表!$B:$B,対応表!$C:$C," ")</f>
        <v xml:space="preserve"> </v>
      </c>
      <c r="BN13" s="7" t="s">
        <v>818</v>
      </c>
      <c r="BO13" s="6" t="str">
        <f>_xlfn.XLOOKUP(BN13,対応表!$B:$B,対応表!$C:$C," ")</f>
        <v xml:space="preserve"> </v>
      </c>
      <c r="BP13" s="7" t="s">
        <v>819</v>
      </c>
      <c r="BQ13" s="6" t="str">
        <f>_xlfn.XLOOKUP(BP13,対応表!$B:$B,対応表!$C:$C," ")</f>
        <v xml:space="preserve"> </v>
      </c>
      <c r="BR13" s="7" t="s">
        <v>820</v>
      </c>
      <c r="BS13" s="6" t="str">
        <f>_xlfn.XLOOKUP(BR13,対応表!$B:$B,対応表!$C:$C," ")</f>
        <v xml:space="preserve"> </v>
      </c>
      <c r="BT13" s="7" t="s">
        <v>821</v>
      </c>
      <c r="BU13" s="6" t="str">
        <f>_xlfn.XLOOKUP(BT13,対応表!$B:$B,対応表!$C:$C," ")</f>
        <v xml:space="preserve"> </v>
      </c>
      <c r="BV13" s="7" t="s">
        <v>822</v>
      </c>
      <c r="BW13" s="6" t="str">
        <f>_xlfn.XLOOKUP(BV13,対応表!$B:$B,対応表!$C:$C," ")</f>
        <v>同?</v>
      </c>
      <c r="BX13" s="7" t="s">
        <v>823</v>
      </c>
      <c r="BY13" s="6" t="str">
        <f>_xlfn.XLOOKUP(BX13,対応表!$B:$B,対応表!$C:$C," ")</f>
        <v>中</v>
      </c>
      <c r="BZ13" s="7" t="s">
        <v>824</v>
      </c>
      <c r="CA13" s="6" t="str">
        <f>_xlfn.XLOOKUP(BZ13,対応表!$B:$B,対応表!$C:$C," ")</f>
        <v xml:space="preserve"> </v>
      </c>
      <c r="CB13" s="7" t="s">
        <v>825</v>
      </c>
      <c r="CC13" s="6" t="str">
        <f>_xlfn.XLOOKUP(CB13,対応表!$B:$B,対応表!$C:$C," ")</f>
        <v xml:space="preserve"> </v>
      </c>
      <c r="CD13" s="7" t="s">
        <v>826</v>
      </c>
      <c r="CE13" s="6" t="str">
        <f>_xlfn.XLOOKUP(CD13,対応表!$B:$B,対応表!$C:$C," ")</f>
        <v xml:space="preserve"> </v>
      </c>
      <c r="CF13" s="7" t="s">
        <v>827</v>
      </c>
      <c r="CG13" s="6" t="str">
        <f>_xlfn.XLOOKUP(CF13,対応表!$B:$B,対応表!$C:$C," ")</f>
        <v xml:space="preserve"> </v>
      </c>
      <c r="CH13" s="7" t="s">
        <v>828</v>
      </c>
      <c r="CI13" s="6" t="str">
        <f>_xlfn.XLOOKUP(CH13,対応表!$B:$B,対応表!$C:$C," ")</f>
        <v xml:space="preserve"> </v>
      </c>
      <c r="CJ13" s="7" t="s">
        <v>829</v>
      </c>
      <c r="CK13" s="6" t="str">
        <f>_xlfn.XLOOKUP(CJ13,対応表!$B:$B,対応表!$C:$C," ")</f>
        <v xml:space="preserve"> </v>
      </c>
      <c r="CL13" s="7" t="s">
        <v>830</v>
      </c>
      <c r="CM13" s="6" t="str">
        <f>_xlfn.XLOOKUP(CL13,対応表!$B:$B,対応表!$C:$C," ")</f>
        <v xml:space="preserve"> </v>
      </c>
      <c r="CN13" s="7" t="s">
        <v>831</v>
      </c>
      <c r="CO13" s="6" t="str">
        <f>_xlfn.XLOOKUP(CN13,対応表!$B:$B,対応表!$C:$C," ")</f>
        <v xml:space="preserve"> </v>
      </c>
      <c r="CP13" s="7" t="s">
        <v>832</v>
      </c>
      <c r="CQ13" s="6" t="str">
        <f>_xlfn.XLOOKUP(CP13,対応表!$B:$B,対応表!$C:$C,"を")</f>
        <v>を</v>
      </c>
      <c r="CR13" s="7" t="s">
        <v>833</v>
      </c>
      <c r="CS13" s="6" t="str">
        <f>_xlfn.XLOOKUP(CR13,対応表!$B:$B,対応表!$C:$C," ")</f>
        <v xml:space="preserve"> </v>
      </c>
      <c r="CT13" s="7" t="s">
        <v>834</v>
      </c>
      <c r="CU13" s="6" t="str">
        <f>_xlfn.XLOOKUP(CT13,対応表!$B:$B,対応表!$C:$C," ")</f>
        <v xml:space="preserve"> </v>
      </c>
      <c r="CV13" s="7" t="s">
        <v>835</v>
      </c>
      <c r="CW13" s="6" t="str">
        <f>_xlfn.XLOOKUP(CV13,対応表!$B:$B,対応表!$C:$C," ")</f>
        <v xml:space="preserve"> </v>
      </c>
      <c r="CX13" s="7" t="s">
        <v>836</v>
      </c>
      <c r="CY13" s="6" t="str">
        <f>_xlfn.XLOOKUP(CX13,対応表!$B:$B,対応表!$C:$C," ")</f>
        <v xml:space="preserve"> </v>
      </c>
      <c r="CZ13" s="7" t="s">
        <v>837</v>
      </c>
      <c r="DA13" s="6" t="str">
        <f>_xlfn.XLOOKUP(CZ13,対応表!$B:$B,対応表!$C:$C," ")</f>
        <v xml:space="preserve"> </v>
      </c>
      <c r="DB13" s="7" t="s">
        <v>838</v>
      </c>
      <c r="DC13" s="6" t="str">
        <f>_xlfn.XLOOKUP(DB13,対応表!$B:$B,対応表!$C:$C," ")</f>
        <v xml:space="preserve"> </v>
      </c>
      <c r="DD13" s="17" t="s">
        <v>839</v>
      </c>
      <c r="DE13" s="6" t="str">
        <f>_xlfn.XLOOKUP(DD13,対応表!$B:$B,対応表!$C:$C," ")</f>
        <v xml:space="preserve"> </v>
      </c>
      <c r="DF13" s="7" t="s">
        <v>840</v>
      </c>
      <c r="DG13" s="6" t="str">
        <f>_xlfn.XLOOKUP(DF13,対応表!$B:$B,対応表!$C:$C," ")</f>
        <v xml:space="preserve"> </v>
      </c>
      <c r="DH13" s="7" t="s">
        <v>841</v>
      </c>
      <c r="DI13" s="6" t="str">
        <f>_xlfn.XLOOKUP(DH13,対応表!$B:$B,対応表!$C:$C," ")</f>
        <v xml:space="preserve"> </v>
      </c>
      <c r="DJ13" s="7" t="s">
        <v>842</v>
      </c>
      <c r="DK13" s="6" t="str">
        <f>_xlfn.XLOOKUP(DJ13,対応表!$B:$B,対応表!$C:$C," ")</f>
        <v>子</v>
      </c>
      <c r="DL13" s="7" t="s">
        <v>843</v>
      </c>
      <c r="DM13" s="6" t="str">
        <f>_xlfn.XLOOKUP(DL13,対応表!$B:$B,対応表!$C:$C," ")</f>
        <v xml:space="preserve"> </v>
      </c>
      <c r="DN13" s="7" t="s">
        <v>844</v>
      </c>
      <c r="DO13" s="6" t="str">
        <f>_xlfn.XLOOKUP(DN13,対応表!$B:$B,対応表!$C:$C," ")</f>
        <v xml:space="preserve"> </v>
      </c>
      <c r="DP13" s="7" t="s">
        <v>845</v>
      </c>
      <c r="DQ13" s="6" t="str">
        <f>_xlfn.XLOOKUP(DP13,対応表!$B:$B,対応表!$C:$C," ")</f>
        <v xml:space="preserve"> </v>
      </c>
      <c r="DR13" s="7" t="s">
        <v>846</v>
      </c>
      <c r="DS13" s="6" t="str">
        <f>_xlfn.XLOOKUP(DR13,対応表!$B:$B,対応表!$C:$C," ")</f>
        <v xml:space="preserve"> </v>
      </c>
      <c r="DT13" s="7" t="s">
        <v>847</v>
      </c>
      <c r="DU13" s="6" t="str">
        <f>_xlfn.XLOOKUP(DT13,対応表!$B:$B,対応表!$C:$C," ")</f>
        <v xml:space="preserve"> </v>
      </c>
      <c r="DV13" s="7" t="s">
        <v>848</v>
      </c>
      <c r="DW13" s="6" t="str">
        <f>_xlfn.XLOOKUP(DV13,対応表!$B:$B,対応表!$C:$C," ")</f>
        <v>兆?</v>
      </c>
      <c r="DX13" s="7" t="s">
        <v>849</v>
      </c>
      <c r="DY13" s="6" t="str">
        <f>_xlfn.XLOOKUP(DX13,対応表!$B:$B,対応表!$C:$C," ")</f>
        <v xml:space="preserve"> </v>
      </c>
      <c r="DZ13" s="7" t="s">
        <v>850</v>
      </c>
      <c r="EA13" s="6" t="str">
        <f>_xlfn.XLOOKUP(DZ13,対応表!$B:$B,対応表!$C:$C," ")</f>
        <v xml:space="preserve"> </v>
      </c>
      <c r="EB13" s="7" t="s">
        <v>851</v>
      </c>
      <c r="EC13" s="6" t="str">
        <f>_xlfn.XLOOKUP(EB13,対応表!$B:$B,対応表!$C:$C," ")</f>
        <v xml:space="preserve"> </v>
      </c>
      <c r="ED13" s="7" t="s">
        <v>852</v>
      </c>
      <c r="EE13" s="6" t="str">
        <f>_xlfn.XLOOKUP(ED13,対応表!$B:$B,対応表!$C:$C," ")</f>
        <v xml:space="preserve"> </v>
      </c>
      <c r="EF13" s="7" t="s">
        <v>853</v>
      </c>
      <c r="EG13" s="6" t="str">
        <f>_xlfn.XLOOKUP(EF13,対応表!$B:$B,対応表!$C:$C," ")</f>
        <v xml:space="preserve"> </v>
      </c>
      <c r="EH13" s="7" t="s">
        <v>854</v>
      </c>
      <c r="EI13" s="6" t="str">
        <f>_xlfn.XLOOKUP(EH13,対応表!$B:$B,対応表!$C:$C," ")</f>
        <v xml:space="preserve"> </v>
      </c>
      <c r="EJ13" s="7" t="s">
        <v>855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856</v>
      </c>
      <c r="B14" s="7" t="s">
        <v>857</v>
      </c>
      <c r="C14" s="6" t="str">
        <f>_xlfn.XLOOKUP(B14,対応表!$B:$B,対応表!$C:$C," ")</f>
        <v>確?</v>
      </c>
      <c r="D14" s="7" t="s">
        <v>858</v>
      </c>
      <c r="E14" s="6" t="str" cm="1">
        <f t="array" ref="E14">_xlfn.XLOOKUP(D14,対応表!$B:B,対応表!$C:C," ")</f>
        <v>け</v>
      </c>
      <c r="F14" s="7" t="s">
        <v>859</v>
      </c>
      <c r="G14" s="6" t="str">
        <f>_xlfn.XLOOKUP(F14,対応表!$B:$B,対応表!$C:$C," ")</f>
        <v xml:space="preserve"> </v>
      </c>
      <c r="H14" s="7" t="s">
        <v>860</v>
      </c>
      <c r="I14" s="6" t="str">
        <f>_xlfn.XLOOKUP(H14,対応表!$B:$B,対応表!$C:$C," ")</f>
        <v>く</v>
      </c>
      <c r="J14" s="7" t="s">
        <v>861</v>
      </c>
      <c r="K14" s="6" t="str">
        <f>_xlfn.XLOOKUP(J14,対応表!$B:$B,対応表!$C:$C," ")</f>
        <v>と</v>
      </c>
      <c r="L14" s="7" t="s">
        <v>862</v>
      </c>
      <c r="M14" s="6" t="str">
        <f>_xlfn.XLOOKUP(L14,対応表!$B:$B,対応表!$C:$C," ")</f>
        <v>だ</v>
      </c>
      <c r="N14" s="7" t="s">
        <v>863</v>
      </c>
      <c r="O14" s="6" t="str">
        <f>_xlfn.XLOOKUP(N14,対応表!$B:$B,対応表!$C:$C," ")</f>
        <v>そ</v>
      </c>
      <c r="P14" s="7" t="s">
        <v>865</v>
      </c>
      <c r="Q14" s="6" t="str">
        <f>_xlfn.XLOOKUP(P14,対応表!$B:$B,対応表!$C:$C," ")</f>
        <v xml:space="preserve"> </v>
      </c>
      <c r="R14" s="7" t="s">
        <v>866</v>
      </c>
      <c r="S14" s="6" t="str">
        <f>_xlfn.XLOOKUP(R14,対応表!$B:$B,対応表!$C:$C," ")</f>
        <v xml:space="preserve"> </v>
      </c>
      <c r="T14" s="7" t="s">
        <v>867</v>
      </c>
      <c r="U14" s="6" t="str">
        <f>_xlfn.XLOOKUP(T14,対応表!$B:$B,対応表!$C:$C," ")</f>
        <v xml:space="preserve"> </v>
      </c>
      <c r="V14" s="7" t="s">
        <v>868</v>
      </c>
      <c r="W14" s="6" t="str">
        <f>_xlfn.XLOOKUP(V14,対応表!$B:$B,対応表!$C:$C," ")</f>
        <v xml:space="preserve"> </v>
      </c>
      <c r="X14" s="7" t="s">
        <v>869</v>
      </c>
      <c r="Y14" s="6" t="str">
        <f>_xlfn.XLOOKUP(X14,対応表!$B:$B,対応表!$C:$C," ")</f>
        <v xml:space="preserve"> </v>
      </c>
      <c r="Z14" s="7" t="s">
        <v>870</v>
      </c>
      <c r="AA14" s="6" t="str">
        <f>_xlfn.XLOOKUP(Z14,対応表!$B:$B,対応表!$C:$C," ")</f>
        <v xml:space="preserve"> </v>
      </c>
      <c r="AB14" s="7" t="s">
        <v>871</v>
      </c>
      <c r="AC14" s="6" t="str">
        <f>_xlfn.XLOOKUP(AB14,対応表!$B:$B,対応表!$C:$C," ")</f>
        <v>街</v>
      </c>
      <c r="AD14" s="7" t="s">
        <v>872</v>
      </c>
      <c r="AE14" s="6" t="str">
        <f>_xlfn.XLOOKUP(AD14,対応表!$B:$B,対応表!$C:$C," ")</f>
        <v xml:space="preserve"> </v>
      </c>
      <c r="AF14" s="7" t="s">
        <v>873</v>
      </c>
      <c r="AG14" s="6" t="str">
        <f>_xlfn.XLOOKUP(AF14,対応表!$B:$B,対応表!$C:$C," ")</f>
        <v xml:space="preserve"> </v>
      </c>
      <c r="AH14" s="7" t="s">
        <v>874</v>
      </c>
      <c r="AI14" s="6" t="str">
        <f>_xlfn.XLOOKUP(AH14,対応表!$B:$B,対応表!$C:$C," ")</f>
        <v>自</v>
      </c>
      <c r="AJ14" s="7" t="s">
        <v>875</v>
      </c>
      <c r="AK14" s="6" t="str">
        <f>_xlfn.XLOOKUP(AJ14,対応表!$B:$B,対応表!$C:$C," ")</f>
        <v>空</v>
      </c>
      <c r="AL14" s="7" t="s">
        <v>876</v>
      </c>
      <c r="AM14" s="6" t="str">
        <f>_xlfn.XLOOKUP(AL14,対応表!$B:$B,対応表!$C:$C," ")</f>
        <v>事</v>
      </c>
      <c r="AN14" s="17" t="s">
        <v>877</v>
      </c>
      <c r="AO14" s="6" t="str">
        <f>_xlfn.XLOOKUP(AN14,対応表!$B:$B,対応表!$C:$C," ")</f>
        <v xml:space="preserve"> </v>
      </c>
      <c r="AP14" s="7" t="s">
        <v>878</v>
      </c>
      <c r="AQ14" s="6" t="str">
        <f>_xlfn.XLOOKUP(AP14,対応表!$B:$B,対応表!$C:$C," ")</f>
        <v xml:space="preserve"> </v>
      </c>
      <c r="AR14" s="7" t="s">
        <v>879</v>
      </c>
      <c r="AS14" s="6" t="str">
        <f>_xlfn.XLOOKUP(AR14,対応表!$B:$B,対応表!$C:$C," ")</f>
        <v xml:space="preserve"> </v>
      </c>
      <c r="AT14" s="17" t="s">
        <v>880</v>
      </c>
      <c r="AU14" s="6" t="str">
        <f>_xlfn.XLOOKUP(AT14,対応表!$B:$B,対応表!$C:$C," ")</f>
        <v xml:space="preserve"> </v>
      </c>
      <c r="AV14" s="7" t="s">
        <v>881</v>
      </c>
      <c r="AW14" s="6" t="str">
        <f>_xlfn.XLOOKUP(AV14,対応表!$B:$B,対応表!$C:$C," ")</f>
        <v xml:space="preserve"> </v>
      </c>
      <c r="AX14" s="7" t="s">
        <v>882</v>
      </c>
      <c r="AY14" s="6" t="str">
        <f>_xlfn.XLOOKUP(AX14,対応表!$B:$B,対応表!$C:$C," ")</f>
        <v xml:space="preserve"> </v>
      </c>
      <c r="AZ14" s="7" t="s">
        <v>883</v>
      </c>
      <c r="BA14" s="6" t="str">
        <f>_xlfn.XLOOKUP(AZ14,対応表!$B:$B,対応表!$C:$C," ")</f>
        <v xml:space="preserve"> </v>
      </c>
      <c r="BB14" s="7" t="s">
        <v>884</v>
      </c>
      <c r="BC14" s="6" t="str">
        <f>_xlfn.XLOOKUP(BB14,対応表!$B:$B,対応表!$C:$C," ")</f>
        <v xml:space="preserve"> </v>
      </c>
      <c r="BD14" s="7" t="s">
        <v>885</v>
      </c>
      <c r="BE14" s="6" t="str">
        <f>_xlfn.XLOOKUP(BD14,対応表!$B:$B,対応表!$C:$C," ")</f>
        <v xml:space="preserve"> </v>
      </c>
      <c r="BF14" s="7" t="s">
        <v>886</v>
      </c>
      <c r="BG14" s="6" t="str">
        <f>_xlfn.XLOOKUP(BF14,対応表!$B:$B,対応表!$C:$C," ")</f>
        <v xml:space="preserve"> </v>
      </c>
      <c r="BH14" s="7" t="s">
        <v>887</v>
      </c>
      <c r="BI14" s="6" t="str">
        <f>_xlfn.XLOOKUP(BH14,対応表!$B:$B,対応表!$C:$C," ")</f>
        <v xml:space="preserve"> </v>
      </c>
      <c r="BJ14" s="7" t="s">
        <v>888</v>
      </c>
      <c r="BK14" s="6" t="str">
        <f>_xlfn.XLOOKUP(BJ14,対応表!$B:$B,対応表!$C:$C," ")</f>
        <v xml:space="preserve"> </v>
      </c>
      <c r="BL14" s="7" t="s">
        <v>889</v>
      </c>
      <c r="BM14" s="6" t="str">
        <f>_xlfn.XLOOKUP(BL14,対応表!$B:$B,対応表!$C:$C," ")</f>
        <v xml:space="preserve"> </v>
      </c>
      <c r="BN14" s="17" t="s">
        <v>890</v>
      </c>
      <c r="BO14" s="6" t="str">
        <f>_xlfn.XLOOKUP(BN14,対応表!$B:$B,対応表!$C:$C," ")</f>
        <v xml:space="preserve"> </v>
      </c>
      <c r="BP14" s="7" t="s">
        <v>891</v>
      </c>
      <c r="BQ14" s="6" t="str">
        <f>_xlfn.XLOOKUP(BP14,対応表!$B:$B,対応表!$C:$C," ")</f>
        <v>相</v>
      </c>
      <c r="BR14" s="7" t="s">
        <v>892</v>
      </c>
      <c r="BS14" s="6" t="str">
        <f>_xlfn.XLOOKUP(BR14,対応表!$B:$B,対応表!$C:$C," ")</f>
        <v xml:space="preserve"> </v>
      </c>
      <c r="BT14" s="17" t="s">
        <v>893</v>
      </c>
      <c r="BU14" s="6" t="str">
        <f>_xlfn.XLOOKUP(BT14,対応表!$B:$B,対応表!$C:$C," ")</f>
        <v xml:space="preserve"> </v>
      </c>
      <c r="BV14" s="7" t="s">
        <v>894</v>
      </c>
      <c r="BW14" s="6" t="str">
        <f>_xlfn.XLOOKUP(BV14,対応表!$B:$B,対応表!$C:$C," ")</f>
        <v xml:space="preserve"> </v>
      </c>
      <c r="BX14" s="7" t="s">
        <v>895</v>
      </c>
      <c r="BY14" s="6" t="str">
        <f>_xlfn.XLOOKUP(BX14,対応表!$B:$B,対応表!$C:$C," ")</f>
        <v xml:space="preserve"> </v>
      </c>
      <c r="BZ14" s="7" t="s">
        <v>896</v>
      </c>
      <c r="CA14" s="6" t="str">
        <f>_xlfn.XLOOKUP(BZ14,対応表!$B:$B,対応表!$C:$C," ")</f>
        <v xml:space="preserve"> </v>
      </c>
      <c r="CB14" s="7" t="s">
        <v>897</v>
      </c>
      <c r="CC14" s="6" t="str">
        <f>_xlfn.XLOOKUP(CB14,対応表!$B:$B,対応表!$C:$C," ")</f>
        <v xml:space="preserve"> </v>
      </c>
      <c r="CD14" s="7" t="s">
        <v>898</v>
      </c>
      <c r="CE14" s="6" t="str">
        <f>_xlfn.XLOOKUP(CD14,対応表!$B:$B,対応表!$C:$C," ")</f>
        <v xml:space="preserve"> </v>
      </c>
      <c r="CF14" s="7" t="s">
        <v>899</v>
      </c>
      <c r="CG14" s="6" t="str">
        <f>_xlfn.XLOOKUP(CF14,対応表!$B:$B,対応表!$C:$C," ")</f>
        <v>存</v>
      </c>
      <c r="CH14" s="7" t="s">
        <v>900</v>
      </c>
      <c r="CI14" s="6" t="str">
        <f>_xlfn.XLOOKUP(CH14,対応表!$B:$B,対応表!$C:$C," ")</f>
        <v xml:space="preserve"> </v>
      </c>
      <c r="CJ14" s="7" t="s">
        <v>901</v>
      </c>
      <c r="CK14" s="6" t="str">
        <f>_xlfn.XLOOKUP(CJ14,対応表!$B:$B,対応表!$C:$C," ")</f>
        <v xml:space="preserve"> </v>
      </c>
      <c r="CL14" s="7" t="s">
        <v>902</v>
      </c>
      <c r="CM14" s="6" t="str">
        <f>_xlfn.XLOOKUP(CL14,対応表!$B:$B,対応表!$C:$C," ")</f>
        <v xml:space="preserve"> </v>
      </c>
      <c r="CN14" s="7" t="s">
        <v>903</v>
      </c>
      <c r="CO14" s="6" t="str">
        <f>_xlfn.XLOOKUP(CN14,対応表!$B:$B,対応表!$C:$C," ")</f>
        <v xml:space="preserve"> </v>
      </c>
      <c r="CP14" s="7" t="s">
        <v>904</v>
      </c>
      <c r="CQ14" s="6" t="str">
        <f>_xlfn.XLOOKUP(CP14,対応表!$B:$B,対応表!$C:$C," ")</f>
        <v>大</v>
      </c>
      <c r="CR14" s="7" t="s">
        <v>905</v>
      </c>
      <c r="CS14" s="6" t="str">
        <f>_xlfn.XLOOKUP(CR14,対応表!$B:$B,対応表!$C:$C," ")</f>
        <v xml:space="preserve"> </v>
      </c>
      <c r="CT14" s="7" t="s">
        <v>906</v>
      </c>
      <c r="CU14" s="6" t="str">
        <f>_xlfn.XLOOKUP(CT14,対応表!$B:$B,対応表!$C:$C," ")</f>
        <v>ぴ</v>
      </c>
      <c r="CV14" s="7" t="s">
        <v>907</v>
      </c>
      <c r="CW14" s="6" t="str">
        <f>_xlfn.XLOOKUP(CV14,対応表!$B:$B,対応表!$C:$C," ")</f>
        <v xml:space="preserve"> </v>
      </c>
      <c r="CX14" s="7" t="s">
        <v>908</v>
      </c>
      <c r="CY14" s="6" t="str">
        <f>_xlfn.XLOOKUP(CX14,対応表!$B:$B,対応表!$C:$C," ")</f>
        <v>続</v>
      </c>
      <c r="CZ14" s="7" t="s">
        <v>909</v>
      </c>
      <c r="DA14" s="6" t="str">
        <f>_xlfn.XLOOKUP(CZ14,対応表!$B:$B,対応表!$C:$C," ")</f>
        <v xml:space="preserve"> </v>
      </c>
      <c r="DB14" s="7" t="s">
        <v>910</v>
      </c>
      <c r="DC14" s="6" t="str">
        <f>_xlfn.XLOOKUP(DB14,対応表!$B:$B,対応表!$C:$C," ")</f>
        <v xml:space="preserve"> </v>
      </c>
      <c r="DD14" s="7" t="s">
        <v>911</v>
      </c>
      <c r="DE14" s="6" t="str">
        <f>_xlfn.XLOOKUP(DD14,対応表!$B:$B,対応表!$C:$C," ")</f>
        <v xml:space="preserve"> </v>
      </c>
      <c r="DF14" s="7" t="s">
        <v>912</v>
      </c>
      <c r="DG14" s="6" t="str">
        <f>_xlfn.XLOOKUP(DF14,対応表!$B:$B,対応表!$C:$C," ")</f>
        <v>清</v>
      </c>
      <c r="DH14" s="7" t="s">
        <v>913</v>
      </c>
      <c r="DI14" s="6" t="str">
        <f>_xlfn.XLOOKUP(DH14,対応表!$B:$B,対応表!$C:$C," ")</f>
        <v xml:space="preserve"> </v>
      </c>
      <c r="DJ14" s="7" t="s">
        <v>914</v>
      </c>
      <c r="DK14" s="6" t="str">
        <f>_xlfn.XLOOKUP(DJ14,対応表!$B:$B,対応表!$C:$C," ")</f>
        <v xml:space="preserve"> </v>
      </c>
      <c r="DL14" s="7" t="s">
        <v>915</v>
      </c>
      <c r="DM14" s="6" t="str">
        <f>_xlfn.XLOOKUP(DL14,対応表!$B:$B,対応表!$C:$C," ")</f>
        <v xml:space="preserve"> </v>
      </c>
      <c r="DN14" s="7" t="s">
        <v>916</v>
      </c>
      <c r="DO14" s="6" t="str">
        <f>_xlfn.XLOOKUP(DN14,対応表!$B:$B,対応表!$C:$C," ")</f>
        <v xml:space="preserve"> </v>
      </c>
      <c r="DP14" s="7" t="s">
        <v>917</v>
      </c>
      <c r="DQ14" s="6" t="str">
        <f>_xlfn.XLOOKUP(DP14,対応表!$B:$B,対応表!$C:$C," ")</f>
        <v xml:space="preserve"> </v>
      </c>
      <c r="DR14" s="7" t="s">
        <v>918</v>
      </c>
      <c r="DS14" s="6" t="str">
        <f>_xlfn.XLOOKUP(DR14,対応表!$B:$B,対応表!$C:$C," ")</f>
        <v xml:space="preserve"> </v>
      </c>
      <c r="DT14" s="7" t="s">
        <v>919</v>
      </c>
      <c r="DU14" s="6" t="str">
        <f>_xlfn.XLOOKUP(DT14,対応表!$B:$B,対応表!$C:$C," ")</f>
        <v xml:space="preserve"> </v>
      </c>
      <c r="DV14" s="7" t="s">
        <v>920</v>
      </c>
      <c r="DW14" s="6" t="str">
        <f>_xlfn.XLOOKUP(DV14,対応表!$B:$B,対応表!$C:$C," ")</f>
        <v xml:space="preserve"> </v>
      </c>
      <c r="DX14" s="7" t="s">
        <v>921</v>
      </c>
      <c r="DY14" s="6" t="str">
        <f>_xlfn.XLOOKUP(DX14,対応表!$B:$B,対応表!$C:$C," ")</f>
        <v xml:space="preserve"> </v>
      </c>
      <c r="DZ14" s="7" t="s">
        <v>922</v>
      </c>
      <c r="EA14" s="6" t="str">
        <f>_xlfn.XLOOKUP(DZ14,対応表!$B:$B,対応表!$C:$C," ")</f>
        <v xml:space="preserve"> </v>
      </c>
      <c r="EB14" s="7" t="s">
        <v>923</v>
      </c>
      <c r="EC14" s="6" t="str">
        <f>_xlfn.XLOOKUP(EB14,対応表!$B:$B,対応表!$C:$C," ")</f>
        <v xml:space="preserve"> </v>
      </c>
      <c r="ED14" s="7" t="s">
        <v>924</v>
      </c>
      <c r="EE14" s="6" t="str">
        <f>_xlfn.XLOOKUP(ED14,対応表!$B:$B,対応表!$C:$C," ")</f>
        <v xml:space="preserve"> </v>
      </c>
      <c r="EF14" s="7" t="s">
        <v>925</v>
      </c>
      <c r="EG14" s="6" t="str">
        <f>_xlfn.XLOOKUP(EF14,対応表!$B:$B,対応表!$C:$C," ")</f>
        <v xml:space="preserve"> </v>
      </c>
      <c r="EH14" s="7" t="s">
        <v>926</v>
      </c>
      <c r="EI14" s="6" t="str">
        <f>_xlfn.XLOOKUP(EH14,対応表!$B:$B,対応表!$C:$C," ")</f>
        <v xml:space="preserve"> </v>
      </c>
      <c r="EJ14" s="7" t="s">
        <v>927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928</v>
      </c>
      <c r="B15" s="7" t="s">
        <v>929</v>
      </c>
      <c r="C15" s="6" t="str">
        <f>_xlfn.XLOOKUP(B15,対応表!$B:$B,対応表!$C:$C," ")</f>
        <v>か</v>
      </c>
      <c r="D15" s="7" t="s">
        <v>930</v>
      </c>
      <c r="E15" s="22" t="str" cm="1">
        <f t="array" ref="E15">_xlfn.XLOOKUP(D15,対応表!$B:B,対応表!$C:C,"継")</f>
        <v>継</v>
      </c>
      <c r="F15" s="7" t="s">
        <v>931</v>
      </c>
      <c r="G15" s="6" t="str">
        <f>_xlfn.XLOOKUP(F15,対応表!$B:$B,対応表!$C:$C," ")</f>
        <v>ほ</v>
      </c>
      <c r="H15" s="7" t="s">
        <v>932</v>
      </c>
      <c r="I15" s="6" t="str">
        <f>_xlfn.XLOOKUP(H15,対応表!$B:$B,対応表!$C:$C," ")</f>
        <v xml:space="preserve"> </v>
      </c>
      <c r="J15" s="7" t="s">
        <v>933</v>
      </c>
      <c r="K15" s="6" t="str">
        <f>_xlfn.XLOOKUP(J15,対応表!$B:$B,対応表!$C:$C," ")</f>
        <v xml:space="preserve"> </v>
      </c>
      <c r="L15" s="7" t="s">
        <v>934</v>
      </c>
      <c r="M15" s="6" t="str">
        <f>_xlfn.XLOOKUP(L15,対応表!$B:$B,対応表!$C:$C," ")</f>
        <v>ろ</v>
      </c>
      <c r="N15" s="7" t="s">
        <v>935</v>
      </c>
      <c r="O15" s="6" t="str">
        <f>_xlfn.XLOOKUP(N15,対応表!$B:$B,対応表!$C:$C," ")</f>
        <v xml:space="preserve"> </v>
      </c>
      <c r="P15" s="7" t="s">
        <v>936</v>
      </c>
      <c r="Q15" s="6" t="str">
        <f>_xlfn.XLOOKUP(P15,対応表!$B:$B,対応表!$C:$C," ")</f>
        <v>腹?</v>
      </c>
      <c r="R15" s="7" t="s">
        <v>937</v>
      </c>
      <c r="S15" s="6" t="str">
        <f>_xlfn.XLOOKUP(R15,対応表!$B:$B,対応表!$C:$C," ")</f>
        <v xml:space="preserve"> </v>
      </c>
      <c r="T15" s="7" t="s">
        <v>938</v>
      </c>
      <c r="U15" s="6" t="str">
        <f>_xlfn.XLOOKUP(T15,対応表!$B:$B,対応表!$C:$C," ")</f>
        <v>地</v>
      </c>
      <c r="V15" s="7" t="s">
        <v>939</v>
      </c>
      <c r="W15" s="6" t="str">
        <f>_xlfn.XLOOKUP(V15,対応表!$B:$B,対応表!$C:$C," ")</f>
        <v xml:space="preserve"> </v>
      </c>
      <c r="X15" s="7" t="s">
        <v>940</v>
      </c>
      <c r="Y15" s="6" t="str">
        <f>_xlfn.XLOOKUP(X15,対応表!$B:$B,対応表!$C:$C," ")</f>
        <v xml:space="preserve"> </v>
      </c>
      <c r="Z15" s="7" t="s">
        <v>941</v>
      </c>
      <c r="AA15" s="6" t="str">
        <f>_xlfn.XLOOKUP(Z15,対応表!$B:$B,対応表!$C:$C," ")</f>
        <v xml:space="preserve"> </v>
      </c>
      <c r="AB15" s="7" t="s">
        <v>942</v>
      </c>
      <c r="AC15" s="6" t="str">
        <f>_xlfn.XLOOKUP(AB15,対応表!$B:$B,対応表!$C:$C," ")</f>
        <v xml:space="preserve"> </v>
      </c>
      <c r="AD15" s="7" t="s">
        <v>943</v>
      </c>
      <c r="AE15" s="6" t="str">
        <f>_xlfn.XLOOKUP(AD15,対応表!$B:$B,対応表!$C:$C," ")</f>
        <v xml:space="preserve"> </v>
      </c>
      <c r="AF15" s="7" t="s">
        <v>944</v>
      </c>
      <c r="AG15" s="6" t="str">
        <f>_xlfn.XLOOKUP(AF15,対応表!$B:$B,対応表!$C:$C," ")</f>
        <v>て</v>
      </c>
      <c r="AH15" s="7" t="s">
        <v>945</v>
      </c>
      <c r="AI15" s="6" t="str">
        <f>_xlfn.XLOOKUP(AH15,対応表!$B:$B,対応表!$C:$C," ")</f>
        <v xml:space="preserve"> </v>
      </c>
      <c r="AJ15" s="7" t="s">
        <v>946</v>
      </c>
      <c r="AK15" s="6" t="str">
        <f>_xlfn.XLOOKUP(AJ15,対応表!$B:$B,対応表!$C:$C," ")</f>
        <v xml:space="preserve"> </v>
      </c>
      <c r="AL15" s="7" t="s">
        <v>947</v>
      </c>
      <c r="AM15" s="6" t="str">
        <f>_xlfn.XLOOKUP(AL15,対応表!$B:$B,対応表!$C:$C," ")</f>
        <v xml:space="preserve"> </v>
      </c>
      <c r="AN15" s="17" t="s">
        <v>948</v>
      </c>
      <c r="AO15" s="6" t="str">
        <f>_xlfn.XLOOKUP(AN15,対応表!$B:$B,対応表!$C:$C," ")</f>
        <v xml:space="preserve"> </v>
      </c>
      <c r="AP15" s="7" t="s">
        <v>949</v>
      </c>
      <c r="AQ15" s="6" t="str">
        <f>_xlfn.XLOOKUP(AP15,対応表!$B:$B,対応表!$C:$C," ")</f>
        <v xml:space="preserve"> </v>
      </c>
      <c r="AR15" s="7" t="s">
        <v>951</v>
      </c>
      <c r="AS15" s="6" t="str">
        <f>_xlfn.XLOOKUP(AR15,対応表!$B:$B,対応表!$C:$C," ")</f>
        <v xml:space="preserve"> </v>
      </c>
      <c r="AT15" s="17" t="s">
        <v>952</v>
      </c>
      <c r="AU15" s="6" t="str">
        <f>_xlfn.XLOOKUP(AT15,対応表!$B:$B,対応表!$C:$C," ")</f>
        <v xml:space="preserve"> </v>
      </c>
      <c r="AV15" s="7" t="s">
        <v>953</v>
      </c>
      <c r="AW15" s="6" t="str">
        <f>_xlfn.XLOOKUP(AV15,対応表!$B:$B,対応表!$C:$C," ")</f>
        <v xml:space="preserve"> </v>
      </c>
      <c r="AX15" s="7" t="s">
        <v>954</v>
      </c>
      <c r="AY15" s="6" t="str">
        <f>_xlfn.XLOOKUP(AX15,対応表!$B:$B,対応表!$C:$C," ")</f>
        <v>ゃ</v>
      </c>
      <c r="AZ15" s="7" t="s">
        <v>955</v>
      </c>
      <c r="BA15" s="6" t="str">
        <f>_xlfn.XLOOKUP(AZ15,対応表!$B:$B,対応表!$C:$C," ")</f>
        <v xml:space="preserve"> </v>
      </c>
      <c r="BB15" s="17" t="s">
        <v>956</v>
      </c>
      <c r="BC15" s="6" t="str">
        <f>_xlfn.XLOOKUP(BB15,対応表!$B:$B,対応表!$C:$C," ")</f>
        <v xml:space="preserve"> </v>
      </c>
      <c r="BD15" s="7" t="s">
        <v>957</v>
      </c>
      <c r="BE15" s="6" t="str">
        <f>_xlfn.XLOOKUP(BD15,対応表!$B:$B,対応表!$C:$C," ")</f>
        <v>ぺ</v>
      </c>
      <c r="BF15" s="7" t="s">
        <v>958</v>
      </c>
      <c r="BG15" s="6" t="str">
        <f>_xlfn.XLOOKUP(BF15,対応表!$B:$B,対応表!$C:$C," ")</f>
        <v xml:space="preserve"> </v>
      </c>
      <c r="BH15" s="7" t="s">
        <v>959</v>
      </c>
      <c r="BI15" s="6" t="str">
        <f>_xlfn.XLOOKUP(BH15,対応表!$B:$B,対応表!$C:$C," ")</f>
        <v xml:space="preserve"> </v>
      </c>
      <c r="BJ15" s="7" t="s">
        <v>960</v>
      </c>
      <c r="BK15" s="6" t="str">
        <f>_xlfn.XLOOKUP(BJ15,対応表!$B:$B,対応表!$C:$C," ")</f>
        <v xml:space="preserve"> </v>
      </c>
      <c r="BL15" s="7" t="s">
        <v>961</v>
      </c>
      <c r="BM15" s="6" t="str">
        <f>_xlfn.XLOOKUP(BL15,対応表!$B:$B,対応表!$C:$C," ")</f>
        <v xml:space="preserve"> </v>
      </c>
      <c r="BN15" s="7" t="s">
        <v>962</v>
      </c>
      <c r="BO15" s="6" t="str">
        <f>_xlfn.XLOOKUP(BN15,対応表!$B:$B,対応表!$C:$C," ")</f>
        <v xml:space="preserve"> </v>
      </c>
      <c r="BP15" s="7" t="s">
        <v>963</v>
      </c>
      <c r="BQ15" s="6" t="str">
        <f>_xlfn.XLOOKUP(BP15,対応表!$B:$B,対応表!$C:$C," ")</f>
        <v>手</v>
      </c>
      <c r="BR15" s="7" t="s">
        <v>964</v>
      </c>
      <c r="BS15" s="6" t="str">
        <f>_xlfn.XLOOKUP(BR15,対応表!$B:$B,対応表!$C:$C," ")</f>
        <v xml:space="preserve"> </v>
      </c>
      <c r="BT15" s="7" t="s">
        <v>965</v>
      </c>
      <c r="BU15" s="6" t="str">
        <f>_xlfn.XLOOKUP(BT15,対応表!$B:$B,対応表!$C:$C," ")</f>
        <v xml:space="preserve"> </v>
      </c>
      <c r="BV15" s="7" t="s">
        <v>966</v>
      </c>
      <c r="BW15" s="6" t="str">
        <f>_xlfn.XLOOKUP(BV15,対応表!$B:$B,対応表!$C:$C," ")</f>
        <v xml:space="preserve"> </v>
      </c>
      <c r="BX15" s="7" t="s">
        <v>967</v>
      </c>
      <c r="BY15" s="6" t="str">
        <f>_xlfn.XLOOKUP(BX15,対応表!$B:$B,対応表!$C:$C," ")</f>
        <v xml:space="preserve"> </v>
      </c>
      <c r="BZ15" s="7" t="s">
        <v>968</v>
      </c>
      <c r="CA15" s="6" t="str">
        <f>_xlfn.XLOOKUP(BZ15,対応表!$B:$B,対応表!$C:$C," ")</f>
        <v xml:space="preserve"> </v>
      </c>
      <c r="CB15" s="7" t="s">
        <v>969</v>
      </c>
      <c r="CC15" s="6" t="str">
        <f>_xlfn.XLOOKUP(CB15,対応表!$B:$B,対応表!$C:$C," ")</f>
        <v xml:space="preserve"> </v>
      </c>
      <c r="CD15" s="7" t="s">
        <v>970</v>
      </c>
      <c r="CE15" s="6" t="str">
        <f>_xlfn.XLOOKUP(CD15,対応表!$B:$B,対応表!$C:$C," ")</f>
        <v xml:space="preserve"> </v>
      </c>
      <c r="CF15" s="7" t="s">
        <v>971</v>
      </c>
      <c r="CG15" s="6" t="str">
        <f>_xlfn.XLOOKUP(CF15,対応表!$B:$B,対応表!$C:$C," ")</f>
        <v xml:space="preserve"> </v>
      </c>
      <c r="CH15" s="7" t="s">
        <v>972</v>
      </c>
      <c r="CI15" s="6" t="str">
        <f>_xlfn.XLOOKUP(CH15,対応表!$B:$B,対応表!$C:$C," ")</f>
        <v xml:space="preserve"> </v>
      </c>
      <c r="CJ15" s="7" t="s">
        <v>973</v>
      </c>
      <c r="CK15" s="6" t="str">
        <f>_xlfn.XLOOKUP(CJ15,対応表!$B:$B,対応表!$C:$C," ")</f>
        <v xml:space="preserve"> </v>
      </c>
      <c r="CL15" s="7" t="s">
        <v>974</v>
      </c>
      <c r="CM15" s="6" t="str">
        <f>_xlfn.XLOOKUP(CL15,対応表!$B:$B,対応表!$C:$C," ")</f>
        <v xml:space="preserve"> </v>
      </c>
      <c r="CN15" s="7" t="s">
        <v>975</v>
      </c>
      <c r="CO15" s="6" t="str">
        <f>_xlfn.XLOOKUP(CN15,対応表!$B:$B,対応表!$C:$C," ")</f>
        <v xml:space="preserve"> </v>
      </c>
      <c r="CP15" s="7" t="s">
        <v>976</v>
      </c>
      <c r="CQ15" s="6" t="str">
        <f>_xlfn.XLOOKUP(CP15,対応表!$B:$B,対応表!$C:$C," ")</f>
        <v>切</v>
      </c>
      <c r="CR15" s="7" t="s">
        <v>977</v>
      </c>
      <c r="CS15" s="6" t="str">
        <f>_xlfn.XLOOKUP(CR15,対応表!$B:$B,対応表!$C:$C," ")</f>
        <v xml:space="preserve"> </v>
      </c>
      <c r="CT15" s="7" t="s">
        <v>978</v>
      </c>
      <c r="CU15" s="6" t="str">
        <f>_xlfn.XLOOKUP(CT15,対応表!$B:$B,対応表!$C:$C," ")</f>
        <v xml:space="preserve"> </v>
      </c>
      <c r="CV15" s="7" t="s">
        <v>979</v>
      </c>
      <c r="CW15" s="6" t="str">
        <f>_xlfn.XLOOKUP(CV15,対応表!$B:$B,対応表!$C:$C," ")</f>
        <v xml:space="preserve"> </v>
      </c>
      <c r="CX15" s="7" t="s">
        <v>980</v>
      </c>
      <c r="CY15" s="6" t="str">
        <f>_xlfn.XLOOKUP(CX15,対応表!$B:$B,対応表!$C:$C," ")</f>
        <v xml:space="preserve"> </v>
      </c>
      <c r="CZ15" s="7" t="s">
        <v>981</v>
      </c>
      <c r="DA15" s="6" t="str">
        <f>_xlfn.XLOOKUP(CZ15,対応表!$B:$B,対応表!$C:$C," ")</f>
        <v xml:space="preserve"> </v>
      </c>
      <c r="DB15" s="7" t="s">
        <v>982</v>
      </c>
      <c r="DC15" s="6" t="str">
        <f>_xlfn.XLOOKUP(DB15,対応表!$B:$B,対応表!$C:$C," ")</f>
        <v xml:space="preserve"> </v>
      </c>
      <c r="DD15" s="7" t="s">
        <v>983</v>
      </c>
      <c r="DE15" s="6" t="str">
        <f>_xlfn.XLOOKUP(DD15,対応表!$B:$B,対応表!$C:$C," ")</f>
        <v xml:space="preserve"> </v>
      </c>
      <c r="DF15" s="7" t="s">
        <v>984</v>
      </c>
      <c r="DG15" s="6" t="str">
        <f>_xlfn.XLOOKUP(DF15,対応表!$B:$B,対応表!$C:$C," ")</f>
        <v xml:space="preserve"> </v>
      </c>
      <c r="DH15" s="7" t="s">
        <v>985</v>
      </c>
      <c r="DI15" s="6" t="str">
        <f>_xlfn.XLOOKUP(DH15,対応表!$B:$B,対応表!$C:$C," ")</f>
        <v xml:space="preserve"> </v>
      </c>
      <c r="DJ15" s="7" t="s">
        <v>986</v>
      </c>
      <c r="DK15" s="6" t="str">
        <f>_xlfn.XLOOKUP(DJ15,対応表!$B:$B,対応表!$C:$C," ")</f>
        <v>初</v>
      </c>
      <c r="DL15" s="7" t="s">
        <v>987</v>
      </c>
      <c r="DM15" s="6" t="str">
        <f>_xlfn.XLOOKUP(DL15,対応表!$B:$B,対応表!$C:$C," ")</f>
        <v xml:space="preserve"> </v>
      </c>
      <c r="DN15" s="7" t="s">
        <v>988</v>
      </c>
      <c r="DO15" s="6" t="str">
        <f>_xlfn.XLOOKUP(DN15,対応表!$B:$B,対応表!$C:$C," ")</f>
        <v xml:space="preserve"> </v>
      </c>
      <c r="DP15" s="7" t="s">
        <v>989</v>
      </c>
      <c r="DQ15" s="6" t="str">
        <f>_xlfn.XLOOKUP(DP15,対応表!$B:$B,対応表!$C:$C," ")</f>
        <v xml:space="preserve"> </v>
      </c>
      <c r="DR15" s="7" t="s">
        <v>990</v>
      </c>
      <c r="DS15" s="6" t="str">
        <f>_xlfn.XLOOKUP(DR15,対応表!$B:$B,対応表!$C:$C," ")</f>
        <v xml:space="preserve"> </v>
      </c>
      <c r="DT15" s="7" t="s">
        <v>991</v>
      </c>
      <c r="DU15" s="6" t="str">
        <f>_xlfn.XLOOKUP(DT15,対応表!$B:$B,対応表!$C:$C," ")</f>
        <v xml:space="preserve"> </v>
      </c>
      <c r="DV15" s="7" t="s">
        <v>992</v>
      </c>
      <c r="DW15" s="6" t="str">
        <f>_xlfn.XLOOKUP(DV15,対応表!$B:$B,対応表!$C:$C," ")</f>
        <v xml:space="preserve"> </v>
      </c>
      <c r="DX15" s="7" t="s">
        <v>993</v>
      </c>
      <c r="DY15" s="6" t="str">
        <f>_xlfn.XLOOKUP(DX15,対応表!$B:$B,対応表!$C:$C," ")</f>
        <v xml:space="preserve"> </v>
      </c>
      <c r="DZ15" s="7" t="s">
        <v>994</v>
      </c>
      <c r="EA15" s="6" t="str">
        <f>_xlfn.XLOOKUP(DZ15,対応表!$B:$B,対応表!$C:$C," ")</f>
        <v xml:space="preserve"> </v>
      </c>
      <c r="EB15" s="7" t="s">
        <v>995</v>
      </c>
      <c r="EC15" s="6" t="str">
        <f>_xlfn.XLOOKUP(EB15,対応表!$B:$B,対応表!$C:$C," ")</f>
        <v xml:space="preserve"> </v>
      </c>
      <c r="ED15" s="7" t="s">
        <v>996</v>
      </c>
      <c r="EE15" s="6" t="str">
        <f>_xlfn.XLOOKUP(ED15,対応表!$B:$B,対応表!$C:$C," ")</f>
        <v xml:space="preserve"> </v>
      </c>
      <c r="EF15" s="7" t="s">
        <v>997</v>
      </c>
      <c r="EG15" s="6" t="str">
        <f>_xlfn.XLOOKUP(EF15,対応表!$B:$B,対応表!$C:$C," ")</f>
        <v xml:space="preserve"> </v>
      </c>
      <c r="EH15" s="7" t="s">
        <v>998</v>
      </c>
      <c r="EI15" s="6" t="str">
        <f>_xlfn.XLOOKUP(EH15,対応表!$B:$B,対応表!$C:$C," ")</f>
        <v xml:space="preserve"> </v>
      </c>
      <c r="EJ15" s="7" t="s">
        <v>999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1000</v>
      </c>
      <c r="B16" s="7" t="s">
        <v>1001</v>
      </c>
      <c r="C16" s="6" t="str">
        <f>_xlfn.XLOOKUP(B16,対応表!$B:$B,対応表!$C:$C," ")</f>
        <v>な</v>
      </c>
      <c r="D16" s="7" t="s">
        <v>1002</v>
      </c>
      <c r="E16" s="6" t="str" cm="1">
        <f t="array" ref="E16">_xlfn.XLOOKUP(D16,対応表!$B:B,対応表!$C:C," ")</f>
        <v>が</v>
      </c>
      <c r="F16" s="7" t="s">
        <v>1003</v>
      </c>
      <c r="G16" s="6" t="str">
        <f>_xlfn.XLOOKUP(F16,対応表!$B:$B,対応表!$C:$C," ")</f>
        <v xml:space="preserve"> </v>
      </c>
      <c r="H16" s="7" t="s">
        <v>1004</v>
      </c>
      <c r="I16" s="6" t="str">
        <f>_xlfn.XLOOKUP(H16,対応表!$B:$B,対応表!$C:$C," ")</f>
        <v>げ</v>
      </c>
      <c r="J16" s="7" t="s">
        <v>1005</v>
      </c>
      <c r="K16" s="6" t="str">
        <f>_xlfn.XLOOKUP(J16,対応表!$B:$B,対応表!$C:$C," ")</f>
        <v xml:space="preserve"> </v>
      </c>
      <c r="L16" s="7" t="s">
        <v>1006</v>
      </c>
      <c r="M16" s="6" t="str">
        <f>_xlfn.XLOOKUP(L16,対応表!$B:$B,対応表!$C:$C," ")</f>
        <v>う</v>
      </c>
      <c r="N16" s="7" t="s">
        <v>1007</v>
      </c>
      <c r="O16" s="6" t="str">
        <f>_xlfn.XLOOKUP(N16,対応表!$B:$B,対応表!$C:$C," ")</f>
        <v xml:space="preserve"> </v>
      </c>
      <c r="P16" s="7" t="s">
        <v>1008</v>
      </c>
      <c r="Q16" s="6" t="str">
        <f>_xlfn.XLOOKUP(P16,対応表!$B:$B,対応表!$C:$C," ")</f>
        <v xml:space="preserve"> </v>
      </c>
      <c r="R16" s="7" t="s">
        <v>1009</v>
      </c>
      <c r="S16" s="6" t="str">
        <f>_xlfn.XLOOKUP(R16,対応表!$B:$B,対応表!$C:$C," ")</f>
        <v xml:space="preserve"> </v>
      </c>
      <c r="T16" s="7" t="s">
        <v>1010</v>
      </c>
      <c r="U16" s="6" t="str">
        <f>_xlfn.XLOOKUP(T16,対応表!$B:$B,対応表!$C:$C," ")</f>
        <v>へ</v>
      </c>
      <c r="V16" s="7" t="s">
        <v>1011</v>
      </c>
      <c r="W16" s="6" t="str">
        <f>_xlfn.XLOOKUP(V16,対応表!$B:$B,対応表!$C:$C," ")</f>
        <v xml:space="preserve"> </v>
      </c>
      <c r="X16" s="7" t="s">
        <v>1012</v>
      </c>
      <c r="Y16" s="6" t="str">
        <f>_xlfn.XLOOKUP(X16,対応表!$B:$B,対応表!$C:$C," ")</f>
        <v>親?</v>
      </c>
      <c r="Z16" s="7" t="s">
        <v>1013</v>
      </c>
      <c r="AA16" s="6" t="str">
        <f>_xlfn.XLOOKUP(Z16,対応表!$B:$B,対応表!$C:$C," ")</f>
        <v xml:space="preserve"> </v>
      </c>
      <c r="AB16" s="7" t="s">
        <v>1014</v>
      </c>
      <c r="AC16" s="6" t="str">
        <f>_xlfn.XLOOKUP(AB16,対応表!$B:$B,対応表!$C:$C," ")</f>
        <v xml:space="preserve"> </v>
      </c>
      <c r="AD16" s="7" t="s">
        <v>1015</v>
      </c>
      <c r="AE16" s="6" t="str">
        <f>_xlfn.XLOOKUP(AD16,対応表!$B:$B,対応表!$C:$C," ")</f>
        <v>よ</v>
      </c>
      <c r="AF16" s="7" t="s">
        <v>1016</v>
      </c>
      <c r="AG16" s="6" t="str">
        <f>_xlfn.XLOOKUP(AF16,対応表!$B:$B,対応表!$C:$C," ")</f>
        <v xml:space="preserve"> </v>
      </c>
      <c r="AH16" s="7" t="s">
        <v>1017</v>
      </c>
      <c r="AI16" s="6" t="str">
        <f>_xlfn.XLOOKUP(AH16,対応表!$B:$B,対応表!$C:$C," ")</f>
        <v xml:space="preserve"> </v>
      </c>
      <c r="AJ16" s="7" t="s">
        <v>1018</v>
      </c>
      <c r="AK16" s="6" t="str">
        <f>_xlfn.XLOOKUP(AJ16,対応表!$B:$B,対応表!$C:$C," ")</f>
        <v xml:space="preserve"> </v>
      </c>
      <c r="AL16" s="7" t="s">
        <v>1019</v>
      </c>
      <c r="AM16" s="6" t="str">
        <f>_xlfn.XLOOKUP(AL16,対応表!$B:$B,対応表!$C:$C," ")</f>
        <v xml:space="preserve"> </v>
      </c>
      <c r="AN16" s="7" t="s">
        <v>1020</v>
      </c>
      <c r="AO16" s="6" t="str">
        <f>_xlfn.XLOOKUP(AN16,対応表!$B:$B,対応表!$C:$C," ")</f>
        <v xml:space="preserve"> </v>
      </c>
      <c r="AP16" s="7" t="s">
        <v>1021</v>
      </c>
      <c r="AQ16" s="6" t="str">
        <f>_xlfn.XLOOKUP(AP16,対応表!$B:$B,対応表!$C:$C," ")</f>
        <v xml:space="preserve"> </v>
      </c>
      <c r="AR16" s="7" t="s">
        <v>1022</v>
      </c>
      <c r="AS16" s="6" t="str">
        <f>_xlfn.XLOOKUP(AR16,対応表!$B:$B,対応表!$C:$C," ")</f>
        <v xml:space="preserve"> </v>
      </c>
      <c r="AT16" s="7" t="s">
        <v>1023</v>
      </c>
      <c r="AU16" s="6" t="str">
        <f>_xlfn.XLOOKUP(AT16,対応表!$B:$B,対応表!$C:$C," ")</f>
        <v xml:space="preserve"> </v>
      </c>
      <c r="AV16" s="7" t="s">
        <v>1024</v>
      </c>
      <c r="AW16" s="6" t="str">
        <f>_xlfn.XLOOKUP(AV16,対応表!$B:$B,対応表!$C:$C," ")</f>
        <v xml:space="preserve"> </v>
      </c>
      <c r="AX16" s="7" t="s">
        <v>1025</v>
      </c>
      <c r="AY16" s="6" t="str">
        <f>_xlfn.XLOOKUP(AX16,対応表!$B:$B,対応表!$C:$C," ")</f>
        <v xml:space="preserve"> </v>
      </c>
      <c r="AZ16" s="7" t="s">
        <v>1026</v>
      </c>
      <c r="BA16" s="6" t="str">
        <f>_xlfn.XLOOKUP(AZ16,対応表!$B:$B,対応表!$C:$C," ")</f>
        <v xml:space="preserve"> </v>
      </c>
      <c r="BB16" s="7" t="s">
        <v>1027</v>
      </c>
      <c r="BC16" s="6" t="str">
        <f>_xlfn.XLOOKUP(BB16,対応表!$B:$B,対応表!$C:$C," ")</f>
        <v xml:space="preserve"> </v>
      </c>
      <c r="BD16" s="7" t="s">
        <v>1028</v>
      </c>
      <c r="BE16" s="6" t="str">
        <f>_xlfn.XLOOKUP(BD16,対応表!$B:$B,対応表!$C:$C," ")</f>
        <v xml:space="preserve"> </v>
      </c>
      <c r="BF16" s="7" t="s">
        <v>1029</v>
      </c>
      <c r="BG16" s="6" t="str">
        <f>_xlfn.XLOOKUP(BF16,対応表!$B:$B,対応表!$C:$C," ")</f>
        <v>対?</v>
      </c>
      <c r="BH16" s="7" t="s">
        <v>1030</v>
      </c>
      <c r="BI16" s="6" t="str">
        <f>_xlfn.XLOOKUP(BH16,対応表!$B:$B,対応表!$C:$C," ")</f>
        <v xml:space="preserve"> </v>
      </c>
      <c r="BJ16" s="7" t="s">
        <v>1031</v>
      </c>
      <c r="BK16" s="6" t="str">
        <f>_xlfn.XLOOKUP(BJ16,対応表!$B:$B,対応表!$C:$C," ")</f>
        <v xml:space="preserve"> </v>
      </c>
      <c r="BL16" s="7" t="s">
        <v>1032</v>
      </c>
      <c r="BM16" s="6" t="str">
        <f>_xlfn.XLOOKUP(BL16,対応表!$B:$B,対応表!$C:$C," ")</f>
        <v xml:space="preserve"> </v>
      </c>
      <c r="BN16" s="7" t="s">
        <v>962</v>
      </c>
      <c r="BO16" s="6" t="str">
        <f>_xlfn.XLOOKUP(BN16,対応表!$B:$B,対応表!$C:$C," ")</f>
        <v xml:space="preserve"> </v>
      </c>
      <c r="BP16" s="7" t="s">
        <v>1033</v>
      </c>
      <c r="BQ16" s="6" t="str">
        <f>_xlfn.XLOOKUP(BP16,対応表!$B:$B,対応表!$C:$C," ")</f>
        <v xml:space="preserve"> </v>
      </c>
      <c r="BR16" s="7" t="s">
        <v>1034</v>
      </c>
      <c r="BS16" s="6" t="str">
        <f>_xlfn.XLOOKUP(BR16,対応表!$B:$B,対応表!$C:$C," ")</f>
        <v xml:space="preserve"> </v>
      </c>
      <c r="BT16" s="7" t="s">
        <v>1035</v>
      </c>
      <c r="BU16" s="6" t="str">
        <f>_xlfn.XLOOKUP(BT16,対応表!$B:$B,対応表!$C:$C," ")</f>
        <v xml:space="preserve"> </v>
      </c>
      <c r="BV16" s="17" t="s">
        <v>1036</v>
      </c>
      <c r="BW16" s="6" t="str">
        <f>_xlfn.XLOOKUP(BV16,対応表!$B:$B,対応表!$C:$C," ")</f>
        <v xml:space="preserve"> </v>
      </c>
      <c r="BX16" s="7" t="s">
        <v>1037</v>
      </c>
      <c r="BY16" s="6" t="str">
        <f>_xlfn.XLOOKUP(BX16,対応表!$B:$B,対応表!$C:$C," ")</f>
        <v xml:space="preserve"> </v>
      </c>
      <c r="BZ16" s="7" t="s">
        <v>1038</v>
      </c>
      <c r="CA16" s="6" t="str">
        <f>_xlfn.XLOOKUP(BZ16,対応表!$B:$B,対応表!$C:$C," ")</f>
        <v xml:space="preserve"> </v>
      </c>
      <c r="CB16" s="7" t="s">
        <v>1039</v>
      </c>
      <c r="CC16" s="6" t="str">
        <f>_xlfn.XLOOKUP(CB16,対応表!$B:$B,対応表!$C:$C," ")</f>
        <v xml:space="preserve"> </v>
      </c>
      <c r="CD16" s="7" t="s">
        <v>1040</v>
      </c>
      <c r="CE16" s="6" t="str">
        <f>_xlfn.XLOOKUP(CD16,対応表!$B:$B,対応表!$C:$C," ")</f>
        <v xml:space="preserve"> </v>
      </c>
      <c r="CF16" s="17" t="s">
        <v>1041</v>
      </c>
      <c r="CG16" s="6" t="str">
        <f>_xlfn.XLOOKUP(CF16,対応表!$B:$B,対応表!$C:$C," ")</f>
        <v xml:space="preserve"> </v>
      </c>
      <c r="CH16" s="7" t="s">
        <v>1042</v>
      </c>
      <c r="CI16" s="6" t="str">
        <f>_xlfn.XLOOKUP(CH16,対応表!$B:$B,対応表!$C:$C," ")</f>
        <v xml:space="preserve"> </v>
      </c>
      <c r="CJ16" s="7" t="s">
        <v>1043</v>
      </c>
      <c r="CK16" s="6" t="str">
        <f>_xlfn.XLOOKUP(CJ16,対応表!$B:$B,対応表!$C:$C," ")</f>
        <v xml:space="preserve"> </v>
      </c>
      <c r="CL16" s="7" t="s">
        <v>1044</v>
      </c>
      <c r="CM16" s="6" t="str">
        <f>_xlfn.XLOOKUP(CL16,対応表!$B:$B,対応表!$C:$C," ")</f>
        <v xml:space="preserve"> </v>
      </c>
      <c r="CN16" s="17" t="s">
        <v>1045</v>
      </c>
      <c r="CO16" s="6" t="str">
        <f>_xlfn.XLOOKUP(CN16,対応表!$B:$B,対応表!$C:$C," ")</f>
        <v xml:space="preserve"> </v>
      </c>
      <c r="CP16" s="7" t="s">
        <v>1046</v>
      </c>
      <c r="CQ16" s="6" t="str">
        <f>_xlfn.XLOOKUP(CP16,対応表!$B:$B,対応表!$C:$C,"に")</f>
        <v>に</v>
      </c>
      <c r="CR16" s="7" t="s">
        <v>1047</v>
      </c>
      <c r="CS16" s="6" t="str">
        <f>_xlfn.XLOOKUP(CR16,対応表!$B:$B,対応表!$C:$C," ")</f>
        <v>苦?</v>
      </c>
      <c r="CT16" s="7" t="s">
        <v>1048</v>
      </c>
      <c r="CU16" s="6" t="str">
        <f>_xlfn.XLOOKUP(CT16,対応表!$B:$B,対応表!$C:$C," ")</f>
        <v xml:space="preserve"> </v>
      </c>
      <c r="CV16" s="7" t="s">
        <v>1049</v>
      </c>
      <c r="CW16" s="6" t="str">
        <f>_xlfn.XLOOKUP(CV16,対応表!$B:$B,対応表!$C:$C," ")</f>
        <v xml:space="preserve"> </v>
      </c>
      <c r="CX16" s="7" t="s">
        <v>1050</v>
      </c>
      <c r="CY16" s="6" t="str">
        <f>_xlfn.XLOOKUP(CX16,対応表!$B:$B,対応表!$C:$C," ")</f>
        <v xml:space="preserve"> </v>
      </c>
      <c r="CZ16" s="7" t="s">
        <v>1051</v>
      </c>
      <c r="DA16" s="6" t="str">
        <f>_xlfn.XLOOKUP(CZ16,対応表!$B:$B,対応表!$C:$C," ")</f>
        <v xml:space="preserve"> </v>
      </c>
      <c r="DB16" s="7" t="s">
        <v>1052</v>
      </c>
      <c r="DC16" s="6" t="str">
        <f>_xlfn.XLOOKUP(DB16,対応表!$B:$B,対応表!$C:$C," ")</f>
        <v xml:space="preserve"> </v>
      </c>
      <c r="DD16" s="7" t="s">
        <v>1053</v>
      </c>
      <c r="DE16" s="6" t="str">
        <f>_xlfn.XLOOKUP(DD16,対応表!$B:$B,対応表!$C:$C," ")</f>
        <v>罪</v>
      </c>
      <c r="DF16" s="7" t="s">
        <v>1054</v>
      </c>
      <c r="DG16" s="6" t="str">
        <f>_xlfn.XLOOKUP(DF16,対応表!$B:$B,対応表!$C:$C," ")</f>
        <v xml:space="preserve"> </v>
      </c>
      <c r="DH16" s="7" t="s">
        <v>1055</v>
      </c>
      <c r="DI16" s="6" t="str">
        <f>_xlfn.XLOOKUP(DH16,対応表!$B:$B,対応表!$C:$C," ")</f>
        <v>味</v>
      </c>
      <c r="DJ16" s="7" t="s">
        <v>1056</v>
      </c>
      <c r="DK16" s="6" t="str">
        <f>_xlfn.XLOOKUP(DJ16,対応表!$B:$B,対応表!$C:$C," ")</f>
        <v xml:space="preserve"> </v>
      </c>
      <c r="DL16" s="7" t="s">
        <v>1057</v>
      </c>
      <c r="DM16" s="6" t="str">
        <f>_xlfn.XLOOKUP(DL16,対応表!$B:$B,対応表!$C:$C," ")</f>
        <v xml:space="preserve"> </v>
      </c>
      <c r="DN16" s="7" t="s">
        <v>1058</v>
      </c>
      <c r="DO16" s="6" t="str">
        <f>_xlfn.XLOOKUP(DN16,対応表!$B:$B,対応表!$C:$C," ")</f>
        <v xml:space="preserve"> </v>
      </c>
      <c r="DP16" s="7" t="s">
        <v>1059</v>
      </c>
      <c r="DQ16" s="6" t="str">
        <f>_xlfn.XLOOKUP(DP16,対応表!$B:$B,対応表!$C:$C," ")</f>
        <v xml:space="preserve"> </v>
      </c>
      <c r="DR16" s="7" t="s">
        <v>1060</v>
      </c>
      <c r="DS16" s="6" t="str">
        <f>_xlfn.XLOOKUP(DR16,対応表!$B:$B,対応表!$C:$C," ")</f>
        <v xml:space="preserve"> </v>
      </c>
      <c r="DT16" s="7" t="s">
        <v>1061</v>
      </c>
      <c r="DU16" s="6" t="str">
        <f>_xlfn.XLOOKUP(DT16,対応表!$B:$B,対応表!$C:$C," ")</f>
        <v xml:space="preserve"> </v>
      </c>
      <c r="DV16" s="7" t="s">
        <v>1062</v>
      </c>
      <c r="DW16" s="6" t="str">
        <f>_xlfn.XLOOKUP(DV16,対応表!$B:$B,対応表!$C:$C," ")</f>
        <v xml:space="preserve"> </v>
      </c>
      <c r="DX16" s="7" t="s">
        <v>1063</v>
      </c>
      <c r="DY16" s="6" t="str">
        <f>_xlfn.XLOOKUP(DX16,対応表!$B:$B,対応表!$C:$C," ")</f>
        <v xml:space="preserve"> </v>
      </c>
      <c r="DZ16" s="7" t="s">
        <v>1064</v>
      </c>
      <c r="EA16" s="6" t="str">
        <f>_xlfn.XLOOKUP(DZ16,対応表!$B:$B,対応表!$C:$C," ")</f>
        <v xml:space="preserve"> </v>
      </c>
      <c r="EB16" s="7" t="s">
        <v>1065</v>
      </c>
      <c r="EC16" s="6" t="str">
        <f>_xlfn.XLOOKUP(EB16,対応表!$B:$B,対応表!$C:$C," ")</f>
        <v xml:space="preserve"> </v>
      </c>
      <c r="ED16" s="7" t="s">
        <v>1066</v>
      </c>
      <c r="EE16" s="6" t="str">
        <f>_xlfn.XLOOKUP(ED16,対応表!$B:$B,対応表!$C:$C," ")</f>
        <v>備</v>
      </c>
      <c r="EF16" s="7" t="s">
        <v>1067</v>
      </c>
      <c r="EG16" s="6" t="str">
        <f>_xlfn.XLOOKUP(EF16,対応表!$B:$B,対応表!$C:$C," ")</f>
        <v xml:space="preserve"> </v>
      </c>
      <c r="EH16" s="7" t="s">
        <v>1068</v>
      </c>
      <c r="EI16" s="6" t="str">
        <f>_xlfn.XLOOKUP(EH16,対応表!$B:$B,対応表!$C:$C," ")</f>
        <v xml:space="preserve"> </v>
      </c>
      <c r="EJ16" s="7" t="s">
        <v>1069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1070</v>
      </c>
      <c r="B17" s="7" t="s">
        <v>1071</v>
      </c>
      <c r="C17" s="6" t="str">
        <f>_xlfn.XLOOKUP(B17,対応表!$B:$B,対応表!$C:$C," ")</f>
        <v>場</v>
      </c>
      <c r="D17" s="7" t="s">
        <v>1072</v>
      </c>
      <c r="E17" s="6" t="str" cm="1">
        <f t="array" ref="E17">_xlfn.XLOOKUP(D17,対応表!$B:B,対応表!$C:C," ")</f>
        <v>れ</v>
      </c>
      <c r="F17" s="7" t="s">
        <v>1073</v>
      </c>
      <c r="G17" s="6" t="str">
        <f>_xlfn.XLOOKUP(F17,対応表!$B:$B,対応表!$C:$C," ")</f>
        <v xml:space="preserve"> </v>
      </c>
      <c r="H17" s="7" t="s">
        <v>1074</v>
      </c>
      <c r="I17" s="6" t="str">
        <f>_xlfn.XLOOKUP(H17,対応表!$B:$B,対応表!$C:$C,"隅")</f>
        <v>隅</v>
      </c>
      <c r="J17" s="7" t="s">
        <v>1075</v>
      </c>
      <c r="K17" s="6" t="str">
        <f>_xlfn.XLOOKUP(J17,対応表!$B:$B,対応表!$C:$C," ")</f>
        <v xml:space="preserve"> </v>
      </c>
      <c r="L17" s="7" t="s">
        <v>1076</v>
      </c>
      <c r="M17" s="6" t="str">
        <f>_xlfn.XLOOKUP(L17,対応表!$B:$B,対応表!$C:$C,"。")</f>
        <v>。</v>
      </c>
      <c r="N17" s="7" t="s">
        <v>1077</v>
      </c>
      <c r="O17" s="6" t="str">
        <f>_xlfn.XLOOKUP(N17,対応表!$B:$B,対応表!$C:$C," ")</f>
        <v>急?</v>
      </c>
      <c r="P17" s="7" t="s">
        <v>1078</v>
      </c>
      <c r="Q17" s="6" t="str">
        <f>_xlfn.XLOOKUP(P17,対応表!$B:$B,対応表!$C:$C," ")</f>
        <v xml:space="preserve"> </v>
      </c>
      <c r="R17" s="7" t="s">
        <v>1079</v>
      </c>
      <c r="S17" s="6" t="str">
        <f>_xlfn.XLOOKUP(R17,対応表!$B:$B,対応表!$C:$C," ")</f>
        <v xml:space="preserve"> </v>
      </c>
      <c r="T17" s="7" t="s">
        <v>1080</v>
      </c>
      <c r="U17" s="6" t="str">
        <f>_xlfn.XLOOKUP(T17,対応表!$B:$B,対応表!$C:$C," ")</f>
        <v>消?</v>
      </c>
      <c r="V17" s="7" t="s">
        <v>1081</v>
      </c>
      <c r="W17" s="6" t="str">
        <f>_xlfn.XLOOKUP(V17,対応表!$B:$B,対応表!$C:$C," ")</f>
        <v xml:space="preserve"> </v>
      </c>
      <c r="X17" s="7" t="s">
        <v>1082</v>
      </c>
      <c r="Y17" s="6" t="str">
        <f>_xlfn.XLOOKUP(X17,対応表!$B:$B,対応表!$C:$C," ")</f>
        <v xml:space="preserve"> </v>
      </c>
      <c r="Z17" s="7" t="s">
        <v>1083</v>
      </c>
      <c r="AA17" s="6" t="str">
        <f>_xlfn.XLOOKUP(Z17,対応表!$B:$B,対応表!$C:$C," ")</f>
        <v xml:space="preserve"> </v>
      </c>
      <c r="AB17" s="7" t="s">
        <v>1084</v>
      </c>
      <c r="AC17" s="6" t="str">
        <f>_xlfn.XLOOKUP(AB17,対応表!$B:$B,対応表!$C:$C," ")</f>
        <v xml:space="preserve"> </v>
      </c>
      <c r="AD17" s="7" t="s">
        <v>1085</v>
      </c>
      <c r="AE17" s="6" t="str">
        <f>_xlfn.XLOOKUP(AD17,対応表!$B:$B,対応表!$C:$C," ")</f>
        <v xml:space="preserve"> </v>
      </c>
      <c r="AF17" s="7" t="s">
        <v>1086</v>
      </c>
      <c r="AG17" s="6" t="str">
        <f>_xlfn.XLOOKUP(AF17,対応表!$B:$B,対応表!$C:$C," ")</f>
        <v xml:space="preserve"> </v>
      </c>
      <c r="AH17" s="7" t="s">
        <v>1087</v>
      </c>
      <c r="AI17" s="6" t="str">
        <f>_xlfn.XLOOKUP(AH17,対応表!$B:$B,対応表!$C:$C," ")</f>
        <v xml:space="preserve"> </v>
      </c>
      <c r="AJ17" s="7" t="s">
        <v>1088</v>
      </c>
      <c r="AK17" s="6" t="str">
        <f>_xlfn.XLOOKUP(AJ17,対応表!$B:$B,対応表!$C:$C," ")</f>
        <v xml:space="preserve"> </v>
      </c>
      <c r="AL17" s="7" t="s">
        <v>1089</v>
      </c>
      <c r="AM17" s="6" t="str">
        <f>_xlfn.XLOOKUP(AL17,対応表!$B:$B,対応表!$C:$C," ")</f>
        <v xml:space="preserve"> </v>
      </c>
      <c r="AN17" s="7" t="s">
        <v>1090</v>
      </c>
      <c r="AO17" s="6" t="str">
        <f>_xlfn.XLOOKUP(AN17,対応表!$B:$B,対応表!$C:$C," ")</f>
        <v xml:space="preserve"> </v>
      </c>
      <c r="AP17" s="7" t="s">
        <v>1091</v>
      </c>
      <c r="AQ17" s="6" t="str">
        <f>_xlfn.XLOOKUP(AP17,対応表!$B:$B,対応表!$C:$C," ")</f>
        <v xml:space="preserve"> </v>
      </c>
      <c r="AR17" s="7" t="s">
        <v>1092</v>
      </c>
      <c r="AS17" s="6" t="str">
        <f>_xlfn.XLOOKUP(AR17,対応表!$B:$B,対応表!$C:$C," ")</f>
        <v xml:space="preserve"> </v>
      </c>
      <c r="AT17" s="7" t="s">
        <v>1093</v>
      </c>
      <c r="AU17" s="6" t="str">
        <f>_xlfn.XLOOKUP(AT17,対応表!$B:$B,対応表!$C:$C," ")</f>
        <v xml:space="preserve"> </v>
      </c>
      <c r="AV17" s="7" t="s">
        <v>1094</v>
      </c>
      <c r="AW17" s="6" t="str">
        <f>_xlfn.XLOOKUP(AV17,対応表!$B:$B,対応表!$C:$C," ")</f>
        <v>俚??</v>
      </c>
      <c r="AX17" s="17" t="s">
        <v>1095</v>
      </c>
      <c r="AY17" s="6" t="str">
        <f>_xlfn.XLOOKUP(AX17,対応表!$B:$B,対応表!$C:$C," ")</f>
        <v xml:space="preserve"> </v>
      </c>
      <c r="AZ17" s="7" t="s">
        <v>1096</v>
      </c>
      <c r="BA17" s="6" t="str">
        <f>_xlfn.XLOOKUP(AZ17,対応表!$B:$B,対応表!$C:$C," ")</f>
        <v>倂??</v>
      </c>
      <c r="BB17" s="7" t="s">
        <v>1097</v>
      </c>
      <c r="BC17" s="6" t="str">
        <f>_xlfn.XLOOKUP(BB17,対応表!$B:$B,対応表!$C:$C," ")</f>
        <v xml:space="preserve"> </v>
      </c>
      <c r="BD17" s="7" t="s">
        <v>1098</v>
      </c>
      <c r="BE17" s="6" t="str">
        <f>_xlfn.XLOOKUP(BD17,対応表!$B:$B,対応表!$C:$C," ")</f>
        <v xml:space="preserve"> </v>
      </c>
      <c r="BF17" s="7" t="s">
        <v>1099</v>
      </c>
      <c r="BG17" s="6" t="str">
        <f>_xlfn.XLOOKUP(BF17,対応表!$B:$B,対応表!$C:$C," ")</f>
        <v>人</v>
      </c>
      <c r="BH17" s="7" t="s">
        <v>1100</v>
      </c>
      <c r="BI17" s="6" t="str">
        <f>_xlfn.XLOOKUP(BH17,対応表!$B:$B,対応表!$C:$C," ")</f>
        <v xml:space="preserve"> </v>
      </c>
      <c r="BJ17" s="7" t="s">
        <v>1101</v>
      </c>
      <c r="BK17" s="6" t="str">
        <f>_xlfn.XLOOKUP(BJ17,対応表!$B:$B,対応表!$C:$C," ")</f>
        <v xml:space="preserve"> </v>
      </c>
      <c r="BL17" s="7" t="s">
        <v>1102</v>
      </c>
      <c r="BM17" s="6" t="str">
        <f>_xlfn.XLOOKUP(BL17,対応表!$B:$B,対応表!$C:$C," ")</f>
        <v>行</v>
      </c>
      <c r="BN17" s="7" t="s">
        <v>1103</v>
      </c>
      <c r="BO17" s="6" t="str">
        <f>_xlfn.XLOOKUP(BN17,対応表!$B:$B,対応表!$C:$C," ")</f>
        <v>傎??</v>
      </c>
      <c r="BP17" s="7" t="s">
        <v>1104</v>
      </c>
      <c r="BQ17" s="6" t="str">
        <f>_xlfn.XLOOKUP(BP17,対応表!$B:$B,対応表!$C:$C," ")</f>
        <v xml:space="preserve"> </v>
      </c>
      <c r="BR17" s="7" t="s">
        <v>1105</v>
      </c>
      <c r="BS17" s="6" t="str">
        <f>_xlfn.XLOOKUP(BR17,対応表!$B:$B,対応表!$C:$C," ")</f>
        <v xml:space="preserve"> </v>
      </c>
      <c r="BT17" s="7" t="s">
        <v>1106</v>
      </c>
      <c r="BU17" s="6" t="str">
        <f>_xlfn.XLOOKUP(BT17,対応表!$B:$B,対応表!$C:$C," ")</f>
        <v xml:space="preserve"> </v>
      </c>
      <c r="BV17" s="7" t="s">
        <v>1107</v>
      </c>
      <c r="BW17" s="6" t="str">
        <f>_xlfn.XLOOKUP(BV17,対応表!$B:$B,対応表!$C:$C," ")</f>
        <v xml:space="preserve"> </v>
      </c>
      <c r="BX17" s="7" t="s">
        <v>1108</v>
      </c>
      <c r="BY17" s="6" t="str">
        <f>_xlfn.XLOOKUP(BX17,対応表!$B:$B,対応表!$C:$C," ")</f>
        <v xml:space="preserve"> </v>
      </c>
      <c r="BZ17" s="7" t="s">
        <v>1109</v>
      </c>
      <c r="CA17" s="6" t="str">
        <f>_xlfn.XLOOKUP(BZ17,対応表!$B:$B,対応表!$C:$C," ")</f>
        <v xml:space="preserve"> </v>
      </c>
      <c r="CB17" s="7" t="s">
        <v>1110</v>
      </c>
      <c r="CC17" s="6" t="str">
        <f>_xlfn.XLOOKUP(CB17,対応表!$B:$B,対応表!$C:$C," ")</f>
        <v xml:space="preserve"> </v>
      </c>
      <c r="CD17" s="7" t="s">
        <v>1111</v>
      </c>
      <c r="CE17" s="6" t="str">
        <f>_xlfn.XLOOKUP(CD17,対応表!$B:$B,対応表!$C:$C," ")</f>
        <v xml:space="preserve"> </v>
      </c>
      <c r="CF17" s="7" t="s">
        <v>1112</v>
      </c>
      <c r="CG17" s="6" t="str">
        <f>_xlfn.XLOOKUP(CF17,対応表!$B:$B,対応表!$C:$C," ")</f>
        <v xml:space="preserve"> </v>
      </c>
      <c r="CH17" s="7" t="s">
        <v>1113</v>
      </c>
      <c r="CI17" s="6" t="str">
        <f>_xlfn.XLOOKUP(CH17,対応表!$B:$B,対応表!$C:$C," ")</f>
        <v xml:space="preserve"> </v>
      </c>
      <c r="CJ17" s="7" t="s">
        <v>1114</v>
      </c>
      <c r="CK17" s="6" t="str">
        <f>_xlfn.XLOOKUP(CJ17,対応表!$B:$B,対応表!$C:$C," ")</f>
        <v xml:space="preserve"> </v>
      </c>
      <c r="CL17" s="7" t="s">
        <v>1115</v>
      </c>
      <c r="CM17" s="6" t="str">
        <f>_xlfn.XLOOKUP(CL17,対応表!$B:$B,対応表!$C:$C," ")</f>
        <v xml:space="preserve"> </v>
      </c>
      <c r="CN17" s="7" t="s">
        <v>1116</v>
      </c>
      <c r="CO17" s="6" t="str">
        <f>_xlfn.XLOOKUP(CN17,対応表!$B:$B,対応表!$C:$C," ")</f>
        <v xml:space="preserve"> </v>
      </c>
      <c r="CP17" s="7" t="s">
        <v>1117</v>
      </c>
      <c r="CQ17" s="6" t="str">
        <f>_xlfn.XLOOKUP(CP17,対応表!$B:$B,対応表!$C:$C," ")</f>
        <v>扱?</v>
      </c>
      <c r="CR17" s="7" t="s">
        <v>1118</v>
      </c>
      <c r="CS17" s="6" t="str">
        <f>_xlfn.XLOOKUP(CR17,対応表!$B:$B,対応表!$C:$C," ")</f>
        <v xml:space="preserve"> </v>
      </c>
      <c r="CT17" s="7" t="s">
        <v>1119</v>
      </c>
      <c r="CU17" s="6" t="str">
        <f>_xlfn.XLOOKUP(CT17,対応表!$B:$B,対応表!$C:$C," ")</f>
        <v xml:space="preserve"> </v>
      </c>
      <c r="CV17" s="7" t="s">
        <v>1120</v>
      </c>
      <c r="CW17" s="6" t="str">
        <f>_xlfn.XLOOKUP(CV17,対応表!$B:$B,対応表!$C:$C," ")</f>
        <v xml:space="preserve"> </v>
      </c>
      <c r="CX17" s="7" t="s">
        <v>1121</v>
      </c>
      <c r="CY17" s="6" t="str">
        <f>_xlfn.XLOOKUP(CX17,対応表!$B:$B,対応表!$C:$C," ")</f>
        <v xml:space="preserve"> </v>
      </c>
      <c r="CZ17" s="7" t="s">
        <v>1122</v>
      </c>
      <c r="DA17" s="6" t="str">
        <f>_xlfn.XLOOKUP(CZ17,対応表!$B:$B,対応表!$C:$C," ")</f>
        <v xml:space="preserve"> </v>
      </c>
      <c r="DB17" s="7" t="s">
        <v>1123</v>
      </c>
      <c r="DC17" s="6" t="str">
        <f>_xlfn.XLOOKUP(DB17,対応表!$B:$B,対応表!$C:$C," ")</f>
        <v xml:space="preserve"> </v>
      </c>
      <c r="DD17" s="17" t="s">
        <v>1124</v>
      </c>
      <c r="DE17" s="6" t="str">
        <f>_xlfn.XLOOKUP(DD17,対応表!$B:$B,対応表!$C:$C," ")</f>
        <v xml:space="preserve"> </v>
      </c>
      <c r="DF17" s="7" t="s">
        <v>1125</v>
      </c>
      <c r="DG17" s="6" t="str">
        <f>_xlfn.XLOOKUP(DF17,対応表!$B:$B,対応表!$C:$C," ")</f>
        <v xml:space="preserve"> </v>
      </c>
      <c r="DH17" s="7" t="s">
        <v>1126</v>
      </c>
      <c r="DI17" s="6" t="str">
        <f>_xlfn.XLOOKUP(DH17,対応表!$B:$B,対応表!$C:$C," ")</f>
        <v xml:space="preserve"> </v>
      </c>
      <c r="DJ17" s="7" t="s">
        <v>1127</v>
      </c>
      <c r="DK17" s="6" t="str">
        <f>_xlfn.XLOOKUP(DJ17,対応表!$B:$B,対応表!$C:$C," ")</f>
        <v xml:space="preserve"> </v>
      </c>
      <c r="DL17" s="7" t="s">
        <v>1128</v>
      </c>
      <c r="DM17" s="6" t="str">
        <f>_xlfn.XLOOKUP(DL17,対応表!$B:$B,対応表!$C:$C," ")</f>
        <v xml:space="preserve"> </v>
      </c>
      <c r="DN17" s="7" t="s">
        <v>1129</v>
      </c>
      <c r="DO17" s="6" t="str">
        <f>_xlfn.XLOOKUP(DN17,対応表!$B:$B,対応表!$C:$C," ")</f>
        <v xml:space="preserve"> </v>
      </c>
      <c r="DP17" s="7" t="s">
        <v>1130</v>
      </c>
      <c r="DQ17" s="6" t="str">
        <f>_xlfn.XLOOKUP(DP17,対応表!$B:$B,対応表!$C:$C," ")</f>
        <v xml:space="preserve"> </v>
      </c>
      <c r="DR17" s="7" t="s">
        <v>1131</v>
      </c>
      <c r="DS17" s="6" t="str">
        <f>_xlfn.XLOOKUP(DR17,対応表!$B:$B,対応表!$C:$C," ")</f>
        <v xml:space="preserve"> </v>
      </c>
      <c r="DT17" s="17" t="s">
        <v>1132</v>
      </c>
      <c r="DU17" s="6" t="str">
        <f>_xlfn.XLOOKUP(DT17,対応表!$B:$B,対応表!$C:$C," ")</f>
        <v xml:space="preserve"> </v>
      </c>
      <c r="DV17" s="7" t="s">
        <v>1133</v>
      </c>
      <c r="DW17" s="6" t="str">
        <f>_xlfn.XLOOKUP(DV17,対応表!$B:$B,対応表!$C:$C," ")</f>
        <v xml:space="preserve"> </v>
      </c>
      <c r="DX17" s="7" t="s">
        <v>1134</v>
      </c>
      <c r="DY17" s="6" t="str">
        <f>_xlfn.XLOOKUP(DX17,対応表!$B:$B,対応表!$C:$C," ")</f>
        <v xml:space="preserve"> </v>
      </c>
      <c r="DZ17" s="7" t="s">
        <v>1135</v>
      </c>
      <c r="EA17" s="6" t="str">
        <f>_xlfn.XLOOKUP(DZ17,対応表!$B:$B,対応表!$C:$C," ")</f>
        <v xml:space="preserve"> </v>
      </c>
      <c r="EB17" s="7" t="s">
        <v>1136</v>
      </c>
      <c r="EC17" s="6" t="str">
        <f>_xlfn.XLOOKUP(EB17,対応表!$B:$B,対応表!$C:$C," ")</f>
        <v xml:space="preserve"> </v>
      </c>
      <c r="ED17" s="7" t="s">
        <v>1137</v>
      </c>
      <c r="EE17" s="6" t="str">
        <f>_xlfn.XLOOKUP(ED17,対応表!$B:$B,対応表!$C:$C," ")</f>
        <v xml:space="preserve"> </v>
      </c>
      <c r="EF17" s="7" t="s">
        <v>1138</v>
      </c>
      <c r="EG17" s="6" t="str">
        <f>_xlfn.XLOOKUP(EF17,対応表!$B:$B,対応表!$C:$C," ")</f>
        <v xml:space="preserve"> </v>
      </c>
      <c r="EH17" s="7" t="s">
        <v>1139</v>
      </c>
      <c r="EI17" s="6" t="str">
        <f>_xlfn.XLOOKUP(EH17,対応表!$B:$B,対応表!$C:$C," ")</f>
        <v xml:space="preserve"> </v>
      </c>
      <c r="EJ17" s="7" t="s">
        <v>1140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1141</v>
      </c>
      <c r="B18" s="7" t="s">
        <v>1142</v>
      </c>
      <c r="C18" s="6" t="str">
        <f>_xlfn.XLOOKUP(B18,対応表!$B:$B,対応表!$C:$C," ")</f>
        <v>所</v>
      </c>
      <c r="D18" s="7" t="s">
        <v>1143</v>
      </c>
      <c r="E18" s="20" t="str" cm="1">
        <f t="array" ref="E18">_xlfn.XLOOKUP(D18,対応表!$B:B,対応表!$C:C," ")</f>
        <v>し</v>
      </c>
      <c r="F18" s="7" t="s">
        <v>1144</v>
      </c>
      <c r="G18" s="6" t="str">
        <f>_xlfn.XLOOKUP(F18,対応表!$B:$B,対応表!$C:$C," ")</f>
        <v xml:space="preserve"> </v>
      </c>
      <c r="H18" s="7" t="s">
        <v>1145</v>
      </c>
      <c r="I18" s="6" t="str">
        <f>_xlfn.XLOOKUP(H18,対応表!$B:$B,対応表!$C:$C," ")</f>
        <v>々</v>
      </c>
      <c r="J18" s="7" t="s">
        <v>1146</v>
      </c>
      <c r="K18" s="6" t="str">
        <f>_xlfn.XLOOKUP(J18,対応表!$B:$B,対応表!$C:$C," ")</f>
        <v xml:space="preserve"> </v>
      </c>
      <c r="L18" s="7" t="s">
        <v>1147</v>
      </c>
      <c r="M18" s="6" t="str">
        <f>_xlfn.XLOOKUP(L18,対応表!$B:$B,対応表!$C:$C,"こ")</f>
        <v>こ</v>
      </c>
      <c r="N18" s="7" t="s">
        <v>1148</v>
      </c>
      <c r="O18" s="6" t="str">
        <f>_xlfn.XLOOKUP(N18,対応表!$B:$B,対応表!$C:$C," ")</f>
        <v>ぎ</v>
      </c>
      <c r="P18" s="7" t="s">
        <v>1149</v>
      </c>
      <c r="Q18" s="6" t="str">
        <f>_xlfn.XLOOKUP(P18,対応表!$B:$B,対応表!$C:$C," ")</f>
        <v xml:space="preserve"> </v>
      </c>
      <c r="R18" s="7" t="s">
        <v>1150</v>
      </c>
      <c r="S18" s="6" t="str">
        <f>_xlfn.XLOOKUP(R18,対応表!$B:$B,対応表!$C:$C," ")</f>
        <v xml:space="preserve"> </v>
      </c>
      <c r="T18" s="7" t="s">
        <v>1151</v>
      </c>
      <c r="U18" s="6" t="str">
        <f>_xlfn.XLOOKUP(T18,対応表!$B:$B,対応表!$C:$C," ")</f>
        <v>え</v>
      </c>
      <c r="V18" s="7" t="s">
        <v>1152</v>
      </c>
      <c r="W18" s="6" t="str">
        <f>_xlfn.XLOOKUP(V18,対応表!$B:$B,対応表!$C:$C," ")</f>
        <v xml:space="preserve"> </v>
      </c>
      <c r="X18" s="17" t="s">
        <v>1153</v>
      </c>
      <c r="Y18" s="6" t="str">
        <f>_xlfn.XLOOKUP(X18,対応表!$B:$B,対応表!$C:$C," ")</f>
        <v>色?</v>
      </c>
      <c r="Z18" s="7" t="s">
        <v>1154</v>
      </c>
      <c r="AA18" s="6" t="str">
        <f>_xlfn.XLOOKUP(Z18,対応表!$B:$B,対応表!$C:$C," ")</f>
        <v xml:space="preserve"> </v>
      </c>
      <c r="AB18" s="7" t="s">
        <v>1155</v>
      </c>
      <c r="AC18" s="6" t="str">
        <f>_xlfn.XLOOKUP(AB18,対応表!$B:$B,対応表!$C:$C," ")</f>
        <v xml:space="preserve"> </v>
      </c>
      <c r="AD18" s="7" t="s">
        <v>1156</v>
      </c>
      <c r="AE18" s="6" t="str">
        <f>_xlfn.XLOOKUP(AD18,対応表!$B:$B,対応表!$C:$C," ")</f>
        <v xml:space="preserve"> </v>
      </c>
      <c r="AF18" s="7" t="s">
        <v>1157</v>
      </c>
      <c r="AG18" s="6" t="str">
        <f>_xlfn.XLOOKUP(AF18,対応表!$B:$B,対応表!$C:$C," ")</f>
        <v xml:space="preserve"> </v>
      </c>
      <c r="AH18" s="7" t="s">
        <v>1158</v>
      </c>
      <c r="AI18" s="6" t="str">
        <f>_xlfn.XLOOKUP(AH18,対応表!$B:$B,対応表!$C:$C," ")</f>
        <v xml:space="preserve"> </v>
      </c>
      <c r="AJ18" s="7" t="s">
        <v>1159</v>
      </c>
      <c r="AK18" s="6" t="str">
        <f>_xlfn.XLOOKUP(AJ18,対応表!$B:$B,対応表!$C:$C," ")</f>
        <v xml:space="preserve"> </v>
      </c>
      <c r="AL18" s="7" t="s">
        <v>1160</v>
      </c>
      <c r="AM18" s="6" t="str">
        <f>_xlfn.XLOOKUP(AL18,対応表!$B:$B,対応表!$C:$C," ")</f>
        <v xml:space="preserve"> </v>
      </c>
      <c r="AN18" s="7" t="s">
        <v>1161</v>
      </c>
      <c r="AO18" s="6" t="str">
        <f>_xlfn.XLOOKUP(AN18,対応表!$B:$B,対応表!$C:$C," ")</f>
        <v xml:space="preserve"> </v>
      </c>
      <c r="AP18" s="7" t="s">
        <v>1162</v>
      </c>
      <c r="AQ18" s="6" t="str">
        <f>_xlfn.XLOOKUP(AP18,対応表!$B:$B,対応表!$C:$C," ")</f>
        <v xml:space="preserve"> </v>
      </c>
      <c r="AR18" s="7" t="s">
        <v>1163</v>
      </c>
      <c r="AS18" s="6" t="str">
        <f>_xlfn.XLOOKUP(AR18,対応表!$B:$B,対応表!$C:$C," ")</f>
        <v xml:space="preserve"> </v>
      </c>
      <c r="AT18" s="17" t="s">
        <v>1164</v>
      </c>
      <c r="AU18" s="6" t="str">
        <f>_xlfn.XLOOKUP(AT18,対応表!$B:$B,対応表!$C:$C," ")</f>
        <v xml:space="preserve"> </v>
      </c>
      <c r="AV18" s="7" t="s">
        <v>1165</v>
      </c>
      <c r="AW18" s="6" t="str">
        <f>_xlfn.XLOOKUP(AV18,対応表!$B:$B,対応表!$C:$C," ")</f>
        <v xml:space="preserve"> </v>
      </c>
      <c r="AX18" s="7" t="s">
        <v>1166</v>
      </c>
      <c r="AY18" s="6" t="str">
        <f>_xlfn.XLOOKUP(AX18,対応表!$B:$B,対応表!$C:$C," ")</f>
        <v>指</v>
      </c>
      <c r="AZ18" s="7" t="s">
        <v>1167</v>
      </c>
      <c r="BA18" s="6" t="str">
        <f>_xlfn.XLOOKUP(AZ18,対応表!$B:$B,対応表!$C:$C," ")</f>
        <v xml:space="preserve"> </v>
      </c>
      <c r="BB18" s="7" t="s">
        <v>1168</v>
      </c>
      <c r="BC18" s="6" t="str">
        <f>_xlfn.XLOOKUP(BB18,対応表!$B:$B,対応表!$C:$C," ")</f>
        <v xml:space="preserve"> </v>
      </c>
      <c r="BD18" s="7" t="s">
        <v>1169</v>
      </c>
      <c r="BE18" s="6" t="str">
        <f>_xlfn.XLOOKUP(BD18,対応表!$B:$B,対応表!$C:$C," ")</f>
        <v xml:space="preserve"> </v>
      </c>
      <c r="BF18" s="7" t="s">
        <v>1170</v>
      </c>
      <c r="BG18" s="6" t="str">
        <f>_xlfn.XLOOKUP(BF18,対応表!$B:$B,対応表!$C:$C," ")</f>
        <v xml:space="preserve"> </v>
      </c>
      <c r="BH18" s="7" t="s">
        <v>1171</v>
      </c>
      <c r="BI18" s="6" t="str">
        <f>_xlfn.XLOOKUP(BH18,対応表!$B:$B,対応表!$C:$C," ")</f>
        <v xml:space="preserve"> </v>
      </c>
      <c r="BJ18" s="7" t="s">
        <v>1172</v>
      </c>
      <c r="BK18" s="6" t="str">
        <f>_xlfn.XLOOKUP(BJ18,対応表!$B:$B,対応表!$C:$C," ")</f>
        <v xml:space="preserve"> </v>
      </c>
      <c r="BL18" s="7" t="s">
        <v>1173</v>
      </c>
      <c r="BM18" s="6" t="str">
        <f>_xlfn.XLOOKUP(BL18,対応表!$B:$B,対応表!$C:$C," ")</f>
        <v xml:space="preserve"> </v>
      </c>
      <c r="BN18" s="7" t="s">
        <v>1174</v>
      </c>
      <c r="BO18" s="6" t="str">
        <f>_xlfn.XLOOKUP(BN18,対応表!$B:$B,対応表!$C:$C," ")</f>
        <v xml:space="preserve"> </v>
      </c>
      <c r="BP18" s="7" t="s">
        <v>1175</v>
      </c>
      <c r="BQ18" s="6" t="str">
        <f>_xlfn.XLOOKUP(BP18,対応表!$B:$B,対応表!$C:$C," ")</f>
        <v xml:space="preserve"> </v>
      </c>
      <c r="BR18" s="17" t="s">
        <v>1176</v>
      </c>
      <c r="BS18" s="6" t="str">
        <f>_xlfn.XLOOKUP(BR18,対応表!$B:$B,対応表!$C:$C," ")</f>
        <v xml:space="preserve"> </v>
      </c>
      <c r="BT18" s="7" t="s">
        <v>1177</v>
      </c>
      <c r="BU18" s="6" t="str">
        <f>_xlfn.XLOOKUP(BT18,対応表!$B:$B,対応表!$C:$C," ")</f>
        <v xml:space="preserve"> </v>
      </c>
      <c r="BV18" s="7" t="s">
        <v>1178</v>
      </c>
      <c r="BW18" s="6" t="str">
        <f>_xlfn.XLOOKUP(BV18,対応表!$B:$B,対応表!$C:$C," ")</f>
        <v xml:space="preserve"> </v>
      </c>
      <c r="BX18" s="7" t="s">
        <v>1179</v>
      </c>
      <c r="BY18" s="6" t="str">
        <f>_xlfn.XLOOKUP(BX18,対応表!$B:$B,対応表!$C:$C," ")</f>
        <v xml:space="preserve"> </v>
      </c>
      <c r="BZ18" s="7" t="s">
        <v>1180</v>
      </c>
      <c r="CA18" s="6" t="str">
        <f>_xlfn.XLOOKUP(BZ18,対応表!$B:$B,対応表!$C:$C," ")</f>
        <v xml:space="preserve"> </v>
      </c>
      <c r="CB18" s="7" t="s">
        <v>1181</v>
      </c>
      <c r="CC18" s="6" t="str">
        <f>_xlfn.XLOOKUP(CB18,対応表!$B:$B,対応表!$C:$C," ")</f>
        <v>入?</v>
      </c>
      <c r="CD18" s="7" t="s">
        <v>1182</v>
      </c>
      <c r="CE18" s="6" t="str">
        <f>_xlfn.XLOOKUP(CD18,対応表!$B:$B,対応表!$C:$C," ")</f>
        <v xml:space="preserve"> </v>
      </c>
      <c r="CF18" s="17" t="s">
        <v>1183</v>
      </c>
      <c r="CG18" s="6" t="str">
        <f>_xlfn.XLOOKUP(CF18,対応表!$B:$B,対応表!$C:$C," ")</f>
        <v xml:space="preserve"> </v>
      </c>
      <c r="CH18" s="7" t="s">
        <v>1184</v>
      </c>
      <c r="CI18" s="6" t="str">
        <f>_xlfn.XLOOKUP(CH18,対応表!$B:$B,対応表!$C:$C," ")</f>
        <v xml:space="preserve"> </v>
      </c>
      <c r="CJ18" s="7" t="s">
        <v>1185</v>
      </c>
      <c r="CK18" s="6" t="str">
        <f>_xlfn.XLOOKUP(CJ18,対応表!$B:$B,対応表!$C:$C," ")</f>
        <v xml:space="preserve"> </v>
      </c>
      <c r="CL18" s="7" t="s">
        <v>1186</v>
      </c>
      <c r="CM18" s="6" t="str">
        <f>_xlfn.XLOOKUP(CL18,対応表!$B:$B,対応表!$C:$C," ")</f>
        <v xml:space="preserve"> </v>
      </c>
      <c r="CN18" s="7" t="s">
        <v>1187</v>
      </c>
      <c r="CO18" s="6" t="str">
        <f>_xlfn.XLOOKUP(CN18,対応表!$B:$B,対応表!$C:$C," ")</f>
        <v xml:space="preserve"> </v>
      </c>
      <c r="CP18" s="7" t="s">
        <v>1188</v>
      </c>
      <c r="CQ18" s="6" t="str">
        <f>_xlfn.XLOOKUP(CP18,対応表!$B:$B,対応表!$C:$C," ")</f>
        <v xml:space="preserve"> </v>
      </c>
      <c r="CR18" s="7" t="s">
        <v>1189</v>
      </c>
      <c r="CS18" s="6" t="str">
        <f>_xlfn.XLOOKUP(CR18,対応表!$B:$B,対応表!$C:$C," ")</f>
        <v xml:space="preserve"> </v>
      </c>
      <c r="CT18" s="7" t="s">
        <v>1190</v>
      </c>
      <c r="CU18" s="6" t="str">
        <f>_xlfn.XLOOKUP(CT18,対応表!$B:$B,対応表!$C:$C," ")</f>
        <v>閉</v>
      </c>
      <c r="CV18" s="7" t="s">
        <v>1191</v>
      </c>
      <c r="CW18" s="6" t="str">
        <f>_xlfn.XLOOKUP(CV18,対応表!$B:$B,対応表!$C:$C," ")</f>
        <v xml:space="preserve"> </v>
      </c>
      <c r="CX18" s="7" t="s">
        <v>1192</v>
      </c>
      <c r="CY18" s="6" t="str">
        <f>_xlfn.XLOOKUP(CX18,対応表!$B:$B,対応表!$C:$C," ")</f>
        <v xml:space="preserve"> </v>
      </c>
      <c r="CZ18" s="7" t="s">
        <v>1193</v>
      </c>
      <c r="DA18" s="6" t="str">
        <f>_xlfn.XLOOKUP(CZ18,対応表!$B:$B,対応表!$C:$C," ")</f>
        <v>年</v>
      </c>
      <c r="DB18" s="7" t="s">
        <v>1123</v>
      </c>
      <c r="DC18" s="6" t="str">
        <f>_xlfn.XLOOKUP(DB18,対応表!$B:$B,対応表!$C:$C," ")</f>
        <v xml:space="preserve"> </v>
      </c>
      <c r="DD18" s="7" t="s">
        <v>1194</v>
      </c>
      <c r="DE18" s="6" t="str">
        <f>_xlfn.XLOOKUP(DD18,対応表!$B:$B,対応表!$C:$C," ")</f>
        <v>犯</v>
      </c>
      <c r="DF18" s="7" t="s">
        <v>1195</v>
      </c>
      <c r="DG18" s="6" t="str">
        <f>_xlfn.XLOOKUP(DF18,対応表!$B:$B,対応表!$C:$C," ")</f>
        <v xml:space="preserve"> </v>
      </c>
      <c r="DH18" s="7" t="s">
        <v>1196</v>
      </c>
      <c r="DI18" s="6" t="str">
        <f>_xlfn.XLOOKUP(DH18,対応表!$B:$B,対応表!$C:$C," ")</f>
        <v xml:space="preserve"> </v>
      </c>
      <c r="DJ18" s="7" t="s">
        <v>1197</v>
      </c>
      <c r="DK18" s="6" t="str">
        <f>_xlfn.XLOOKUP(DJ18,対応表!$B:$B,対応表!$C:$C," ")</f>
        <v xml:space="preserve"> </v>
      </c>
      <c r="DL18" s="7" t="s">
        <v>1198</v>
      </c>
      <c r="DM18" s="6" t="str">
        <f>_xlfn.XLOOKUP(DL18,対応表!$B:$B,対応表!$C:$C," ")</f>
        <v xml:space="preserve"> </v>
      </c>
      <c r="DN18" s="7" t="s">
        <v>1199</v>
      </c>
      <c r="DO18" s="6" t="str">
        <f>_xlfn.XLOOKUP(DN18,対応表!$B:$B,対応表!$C:$C," ")</f>
        <v xml:space="preserve"> </v>
      </c>
      <c r="DP18" s="7" t="s">
        <v>1200</v>
      </c>
      <c r="DQ18" s="6" t="str">
        <f>_xlfn.XLOOKUP(DP18,対応表!$B:$B,対応表!$C:$C," ")</f>
        <v xml:space="preserve"> </v>
      </c>
      <c r="DR18" s="7" t="s">
        <v>1201</v>
      </c>
      <c r="DS18" s="6" t="str">
        <f>_xlfn.XLOOKUP(DR18,対応表!$B:$B,対応表!$C:$C," ")</f>
        <v xml:space="preserve"> </v>
      </c>
      <c r="DT18" s="7" t="s">
        <v>1202</v>
      </c>
      <c r="DU18" s="6" t="str">
        <f>_xlfn.XLOOKUP(DT18,対応表!$B:$B,対応表!$C:$C," ")</f>
        <v>開</v>
      </c>
      <c r="DV18" s="7" t="s">
        <v>1203</v>
      </c>
      <c r="DW18" s="6" t="str">
        <f>_xlfn.XLOOKUP(DV18,対応表!$B:$B,対応表!$C:$C," ")</f>
        <v xml:space="preserve"> </v>
      </c>
      <c r="DX18" s="7" t="s">
        <v>1204</v>
      </c>
      <c r="DY18" s="6" t="str">
        <f>_xlfn.XLOOKUP(DX18,対応表!$B:$B,対応表!$C:$C," ")</f>
        <v>守?</v>
      </c>
      <c r="DZ18" s="7" t="s">
        <v>1205</v>
      </c>
      <c r="EA18" s="6" t="str">
        <f>_xlfn.XLOOKUP(DZ18,対応表!$B:$B,対応表!$C:$C," ")</f>
        <v xml:space="preserve"> </v>
      </c>
      <c r="EB18" s="7" t="s">
        <v>1206</v>
      </c>
      <c r="EC18" s="6" t="str">
        <f>_xlfn.XLOOKUP(EB18,対応表!$B:$B,対応表!$C:$C," ")</f>
        <v xml:space="preserve"> </v>
      </c>
      <c r="ED18" s="7" t="s">
        <v>1207</v>
      </c>
      <c r="EE18" s="6" t="str">
        <f>_xlfn.XLOOKUP(ED18,対応表!$B:$B,対応表!$C:$C," ")</f>
        <v xml:space="preserve"> </v>
      </c>
      <c r="EF18" s="7" t="s">
        <v>1208</v>
      </c>
      <c r="EG18" s="6" t="str">
        <f>_xlfn.XLOOKUP(EF18,対応表!$B:$B,対応表!$C:$C," ")</f>
        <v>像/王?</v>
      </c>
      <c r="EH18" s="7" t="s">
        <v>1209</v>
      </c>
      <c r="EI18" s="6" t="str">
        <f>_xlfn.XLOOKUP(EH18,対応表!$B:$B,対応表!$C:$C," ")</f>
        <v xml:space="preserve"> </v>
      </c>
      <c r="EJ18" s="7" t="s">
        <v>1210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1211</v>
      </c>
      <c r="B19" s="7" t="s">
        <v>1212</v>
      </c>
      <c r="C19" s="6" t="str">
        <f>_xlfn.XLOOKUP(B19,対応表!$B:$B,対応表!$C:$C," ")</f>
        <v>で</v>
      </c>
      <c r="D19" s="7" t="s">
        <v>1213</v>
      </c>
      <c r="E19" s="19" t="str" cm="1">
        <f t="array" ref="E19">_xlfn.XLOOKUP(D19,対応表!$B:B,対応表!$C:C,"掟?")</f>
        <v>掟</v>
      </c>
      <c r="F19" s="7" t="s">
        <v>1214</v>
      </c>
      <c r="G19" s="6" t="str">
        <f>_xlfn.XLOOKUP(F19,対応表!$B:$B,対応表!$C:$C," ")</f>
        <v xml:space="preserve"> </v>
      </c>
      <c r="H19" s="7" t="s">
        <v>1215</v>
      </c>
      <c r="I19" s="6" t="str">
        <f>_xlfn.XLOOKUP(H19,対応表!$B:$B,対応表!$C:$C," ")</f>
        <v>ま</v>
      </c>
      <c r="J19" s="7" t="s">
        <v>1216</v>
      </c>
      <c r="K19" s="6" t="str">
        <f>_xlfn.XLOOKUP(J19,対応表!$B:$B,対応表!$C:$C,"。")</f>
        <v>。</v>
      </c>
      <c r="L19" s="7" t="s">
        <v>1217</v>
      </c>
      <c r="M19" s="6" t="str">
        <f>_xlfn.XLOOKUP(L19,対応表!$B:$B,対応表!$C:$C,"の")</f>
        <v>の</v>
      </c>
      <c r="N19" s="7" t="s">
        <v>1218</v>
      </c>
      <c r="O19" s="6" t="str">
        <f>_xlfn.XLOOKUP(N19,対応表!$B:$B,対応表!$C:$C," ")</f>
        <v xml:space="preserve"> </v>
      </c>
      <c r="P19" s="7" t="s">
        <v>1219</v>
      </c>
      <c r="Q19" s="6" t="str">
        <f>_xlfn.XLOOKUP(P19,対応表!$B:$B,対応表!$C:$C," ")</f>
        <v xml:space="preserve"> </v>
      </c>
      <c r="R19" s="7" t="s">
        <v>1220</v>
      </c>
      <c r="S19" s="6" t="str">
        <f>_xlfn.XLOOKUP(R19,対応表!$B:$B,対応表!$C:$C," ")</f>
        <v xml:space="preserve"> </v>
      </c>
      <c r="T19" s="7" t="s">
        <v>1221</v>
      </c>
      <c r="U19" s="6" t="str">
        <f>_xlfn.XLOOKUP(T19,対応表!$B:$B,対応表!$C:$C," ")</f>
        <v xml:space="preserve"> </v>
      </c>
      <c r="V19" s="7" t="s">
        <v>1222</v>
      </c>
      <c r="W19" s="6" t="str">
        <f>_xlfn.XLOOKUP(V19,対応表!$B:$B,対応表!$C:$C," ")</f>
        <v xml:space="preserve"> </v>
      </c>
      <c r="X19" s="7" t="s">
        <v>1223</v>
      </c>
      <c r="Y19" s="6" t="str">
        <f>_xlfn.XLOOKUP(X19,対応表!$B:$B,対応表!$C:$C," ")</f>
        <v xml:space="preserve"> </v>
      </c>
      <c r="Z19" s="7" t="s">
        <v>1224</v>
      </c>
      <c r="AA19" s="6" t="str">
        <f>_xlfn.XLOOKUP(Z19,対応表!$B:$B,対応表!$C:$C," ")</f>
        <v>目</v>
      </c>
      <c r="AB19" s="7" t="s">
        <v>1225</v>
      </c>
      <c r="AC19" s="6" t="str">
        <f>_xlfn.XLOOKUP(AB19,対応表!$B:$B,対応表!$C:$C," ")</f>
        <v xml:space="preserve"> </v>
      </c>
      <c r="AD19" s="7" t="s">
        <v>1226</v>
      </c>
      <c r="AE19" s="6" t="str">
        <f>_xlfn.XLOOKUP(AD19,対応表!$B:$B,対応表!$C:$C," ")</f>
        <v xml:space="preserve"> </v>
      </c>
      <c r="AF19" s="7" t="s">
        <v>1227</v>
      </c>
      <c r="AG19" s="6" t="str">
        <f>_xlfn.XLOOKUP(AF19,対応表!$B:$B,対応表!$C:$C," ")</f>
        <v>ぬ</v>
      </c>
      <c r="AH19" s="7" t="s">
        <v>1228</v>
      </c>
      <c r="AI19" s="6" t="str">
        <f>_xlfn.XLOOKUP(AH19,対応表!$B:$B,対応表!$C:$C," ")</f>
        <v xml:space="preserve"> </v>
      </c>
      <c r="AJ19" s="7" t="s">
        <v>1229</v>
      </c>
      <c r="AK19" s="6" t="str">
        <f>_xlfn.XLOOKUP(AJ19,対応表!$B:$B,対応表!$C:$C," ")</f>
        <v>無</v>
      </c>
      <c r="AL19" s="7" t="s">
        <v>1230</v>
      </c>
      <c r="AM19" s="6" t="str">
        <f>_xlfn.XLOOKUP(AL19,対応表!$B:$B,対応表!$C:$C," ")</f>
        <v xml:space="preserve"> </v>
      </c>
      <c r="AN19" s="7" t="s">
        <v>1231</v>
      </c>
      <c r="AO19" s="6" t="str">
        <f>_xlfn.XLOOKUP(AN19,対応表!$B:$B,対応表!$C:$C," ")</f>
        <v xml:space="preserve"> </v>
      </c>
      <c r="AP19" s="17" t="s">
        <v>1232</v>
      </c>
      <c r="AQ19" s="6" t="str">
        <f>_xlfn.XLOOKUP(AP19,対応表!$B:$B,対応表!$C:$C," ")</f>
        <v xml:space="preserve"> </v>
      </c>
      <c r="AR19" s="7" t="s">
        <v>1233</v>
      </c>
      <c r="AS19" s="6" t="str">
        <f>_xlfn.XLOOKUP(AR19,対応表!$B:$B,対応表!$C:$C," ")</f>
        <v xml:space="preserve"> </v>
      </c>
      <c r="AT19" s="7" t="s">
        <v>1234</v>
      </c>
      <c r="AU19" s="6" t="str">
        <f>_xlfn.XLOOKUP(AT19,対応表!$B:$B,対応表!$C:$C," ")</f>
        <v xml:space="preserve"> </v>
      </c>
      <c r="AV19" s="7" t="s">
        <v>1235</v>
      </c>
      <c r="AW19" s="6" t="str">
        <f>_xlfn.XLOOKUP(AV19,対応表!$B:$B,対応表!$C:$C," ")</f>
        <v>香</v>
      </c>
      <c r="AX19" s="17" t="s">
        <v>1236</v>
      </c>
      <c r="AY19" s="6" t="str">
        <f>_xlfn.XLOOKUP(AX19,対応表!$B:$B,対応表!$C:$C," ")</f>
        <v xml:space="preserve"> </v>
      </c>
      <c r="AZ19" s="7" t="s">
        <v>1237</v>
      </c>
      <c r="BA19" s="6" t="str">
        <f>_xlfn.XLOOKUP(AZ19,対応表!$B:$B,対応表!$C:$C," ")</f>
        <v>沿?</v>
      </c>
      <c r="BB19" s="7" t="s">
        <v>1238</v>
      </c>
      <c r="BC19" s="6" t="str">
        <f>_xlfn.XLOOKUP(BB19,対応表!$B:$B,対応表!$C:$C," ")</f>
        <v xml:space="preserve"> </v>
      </c>
      <c r="BD19" s="7" t="s">
        <v>1239</v>
      </c>
      <c r="BE19" s="6" t="str">
        <f>_xlfn.XLOOKUP(BD19,対応表!$B:$B,対応表!$C:$C," ")</f>
        <v xml:space="preserve"> </v>
      </c>
      <c r="BF19" s="7" t="s">
        <v>1240</v>
      </c>
      <c r="BG19" s="6" t="str">
        <f>_xlfn.XLOOKUP(BF19,対応表!$B:$B,対応表!$C:$C," ")</f>
        <v xml:space="preserve"> </v>
      </c>
      <c r="BH19" s="7" t="s">
        <v>1241</v>
      </c>
      <c r="BI19" s="6" t="str">
        <f>_xlfn.XLOOKUP(BH19,対応表!$B:$B,対応表!$C:$C," ")</f>
        <v xml:space="preserve"> </v>
      </c>
      <c r="BJ19" s="7" t="s">
        <v>1242</v>
      </c>
      <c r="BK19" s="6" t="str">
        <f>_xlfn.XLOOKUP(BJ19,対応表!$B:$B,対応表!$C:$C," ")</f>
        <v xml:space="preserve"> </v>
      </c>
      <c r="BL19" s="7" t="s">
        <v>1243</v>
      </c>
      <c r="BM19" s="6" t="str">
        <f>_xlfn.XLOOKUP(BL19,対応表!$B:$B,対応表!$C:$C," ")</f>
        <v xml:space="preserve"> </v>
      </c>
      <c r="BN19" s="7" t="s">
        <v>1244</v>
      </c>
      <c r="BO19" s="6" t="str">
        <f>_xlfn.XLOOKUP(BN19,対応表!$B:$B,対応表!$C:$C," ")</f>
        <v xml:space="preserve"> </v>
      </c>
      <c r="BP19" s="7" t="s">
        <v>1245</v>
      </c>
      <c r="BQ19" s="6" t="str">
        <f>_xlfn.XLOOKUP(BP19,対応表!$B:$B,対応表!$C:$C," ")</f>
        <v xml:space="preserve"> </v>
      </c>
      <c r="BR19" s="7" t="s">
        <v>1246</v>
      </c>
      <c r="BS19" s="6" t="str">
        <f>_xlfn.XLOOKUP(BR19,対応表!$B:$B,対応表!$C:$C," ")</f>
        <v xml:space="preserve"> </v>
      </c>
      <c r="BT19" s="17" t="s">
        <v>1247</v>
      </c>
      <c r="BU19" s="6" t="str">
        <f>_xlfn.XLOOKUP(BT19,対応表!$B:$B,対応表!$C:$C," ")</f>
        <v>お</v>
      </c>
      <c r="BV19" s="7" t="s">
        <v>1248</v>
      </c>
      <c r="BW19" s="6" t="str">
        <f>_xlfn.XLOOKUP(BV19,対応表!$B:$B,対応表!$C:$C," ")</f>
        <v xml:space="preserve"> </v>
      </c>
      <c r="BX19" s="7" t="s">
        <v>1249</v>
      </c>
      <c r="BY19" s="6" t="str">
        <f>_xlfn.XLOOKUP(BX19,対応表!$B:$B,対応表!$C:$C," ")</f>
        <v xml:space="preserve"> </v>
      </c>
      <c r="BZ19" s="7" t="s">
        <v>1250</v>
      </c>
      <c r="CA19" s="6" t="str">
        <f>_xlfn.XLOOKUP(BZ19,対応表!$B:$B,対応表!$C:$C," ")</f>
        <v xml:space="preserve"> </v>
      </c>
      <c r="CB19" s="7" t="s">
        <v>1251</v>
      </c>
      <c r="CC19" s="6" t="str">
        <f>_xlfn.XLOOKUP(CB19,対応表!$B:$B,対応表!$C:$C," ")</f>
        <v xml:space="preserve"> </v>
      </c>
      <c r="CD19" s="7" t="s">
        <v>1252</v>
      </c>
      <c r="CE19" s="6" t="str">
        <f>_xlfn.XLOOKUP(CD19,対応表!$B:$B,対応表!$C:$C," ")</f>
        <v xml:space="preserve"> </v>
      </c>
      <c r="CF19" s="7" t="s">
        <v>1253</v>
      </c>
      <c r="CG19" s="6" t="str">
        <f>_xlfn.XLOOKUP(CF19,対応表!$B:$B,対応表!$C:$C," ")</f>
        <v xml:space="preserve"> </v>
      </c>
      <c r="CH19" s="7" t="s">
        <v>1254</v>
      </c>
      <c r="CI19" s="6" t="str">
        <f>_xlfn.XLOOKUP(CH19,対応表!$B:$B,対応表!$C:$C," ")</f>
        <v xml:space="preserve"> </v>
      </c>
      <c r="CJ19" s="7" t="s">
        <v>1255</v>
      </c>
      <c r="CK19" s="6" t="str">
        <f>_xlfn.XLOOKUP(CJ19,対応表!$B:$B,対応表!$C:$C," ")</f>
        <v xml:space="preserve"> </v>
      </c>
      <c r="CL19" s="7" t="s">
        <v>1256</v>
      </c>
      <c r="CM19" s="6" t="str">
        <f>_xlfn.XLOOKUP(CL19,対応表!$B:$B,対応表!$C:$C," ")</f>
        <v xml:space="preserve"> </v>
      </c>
      <c r="CN19" s="7" t="s">
        <v>1257</v>
      </c>
      <c r="CO19" s="6" t="str">
        <f>_xlfn.XLOOKUP(CN19,対応表!$B:$B,対応表!$C:$C," ")</f>
        <v xml:space="preserve"> </v>
      </c>
      <c r="CP19" s="7" t="s">
        <v>1258</v>
      </c>
      <c r="CQ19" s="6" t="str">
        <f>_xlfn.XLOOKUP(CP19,対応表!$B:$B,対応表!$C:$C," ")</f>
        <v xml:space="preserve"> </v>
      </c>
      <c r="CR19" s="17" t="s">
        <v>1259</v>
      </c>
      <c r="CS19" s="6" t="str">
        <f>_xlfn.XLOOKUP(CR19,対応表!$B:$B,対応表!$C:$C," ")</f>
        <v xml:space="preserve"> </v>
      </c>
      <c r="CT19" s="7" t="s">
        <v>1260</v>
      </c>
      <c r="CU19" s="6" t="str">
        <f>_xlfn.XLOOKUP(CT19,対応表!$B:$B,対応表!$C:$C," ")</f>
        <v xml:space="preserve"> </v>
      </c>
      <c r="CV19" s="7" t="s">
        <v>1261</v>
      </c>
      <c r="CW19" s="6" t="str">
        <f>_xlfn.XLOOKUP(CV19,対応表!$B:$B,対応表!$C:$C," ")</f>
        <v xml:space="preserve"> </v>
      </c>
      <c r="CX19" s="7" t="s">
        <v>1262</v>
      </c>
      <c r="CY19" s="6" t="str">
        <f>_xlfn.XLOOKUP(CX19,対応表!$B:$B,対応表!$C:$C," ")</f>
        <v xml:space="preserve"> </v>
      </c>
      <c r="CZ19" s="7" t="s">
        <v>1263</v>
      </c>
      <c r="DA19" s="6" t="str">
        <f>_xlfn.XLOOKUP(CZ19,対応表!$B:$B,対応表!$C:$C," ")</f>
        <v>以?</v>
      </c>
      <c r="DB19" s="7" t="s">
        <v>1264</v>
      </c>
      <c r="DC19" s="6" t="str">
        <f>_xlfn.XLOOKUP(DB19,対応表!$B:$B,対応表!$C:$C," ")</f>
        <v xml:space="preserve"> </v>
      </c>
      <c r="DD19" s="7" t="s">
        <v>1265</v>
      </c>
      <c r="DE19" s="6" t="str">
        <f>_xlfn.XLOOKUP(DD19,対応表!$B:$B,対応表!$C:$C," ")</f>
        <v xml:space="preserve"> </v>
      </c>
      <c r="DF19" s="7" t="s">
        <v>1266</v>
      </c>
      <c r="DG19" s="6" t="str">
        <f>_xlfn.XLOOKUP(DF19,対応表!$B:$B,対応表!$C:$C," ")</f>
        <v xml:space="preserve"> </v>
      </c>
      <c r="DH19" s="7" t="s">
        <v>1267</v>
      </c>
      <c r="DI19" s="6" t="str">
        <f>_xlfn.XLOOKUP(DH19,対応表!$B:$B,対応表!$C:$C," ")</f>
        <v xml:space="preserve"> </v>
      </c>
      <c r="DJ19" s="7" t="s">
        <v>1268</v>
      </c>
      <c r="DK19" s="6" t="str">
        <f>_xlfn.XLOOKUP(DJ19,対応表!$B:$B,対応表!$C:$C," ")</f>
        <v xml:space="preserve"> </v>
      </c>
      <c r="DL19" s="7" t="s">
        <v>1269</v>
      </c>
      <c r="DM19" s="6" t="str">
        <f>_xlfn.XLOOKUP(DL19,対応表!$B:$B,対応表!$C:$C," ")</f>
        <v xml:space="preserve"> </v>
      </c>
      <c r="DN19" s="7" t="s">
        <v>1270</v>
      </c>
      <c r="DO19" s="6" t="str">
        <f>_xlfn.XLOOKUP(DN19,対応表!$B:$B,対応表!$C:$C," ")</f>
        <v xml:space="preserve"> </v>
      </c>
      <c r="DP19" s="7" t="s">
        <v>1271</v>
      </c>
      <c r="DQ19" s="6" t="str">
        <f>_xlfn.XLOOKUP(DP19,対応表!$B:$B,対応表!$C:$C," ")</f>
        <v xml:space="preserve"> </v>
      </c>
      <c r="DR19" s="7" t="s">
        <v>1272</v>
      </c>
      <c r="DS19" s="6" t="str">
        <f>_xlfn.XLOOKUP(DR19,対応表!$B:$B,対応表!$C:$C," ")</f>
        <v>勀??</v>
      </c>
      <c r="DT19" s="7" t="s">
        <v>1273</v>
      </c>
      <c r="DU19" s="6" t="str">
        <f>_xlfn.XLOOKUP(DT19,対応表!$B:$B,対応表!$C:$C," ")</f>
        <v xml:space="preserve"> </v>
      </c>
      <c r="DV19" s="7" t="s">
        <v>1274</v>
      </c>
      <c r="DW19" s="6" t="str">
        <f>_xlfn.XLOOKUP(DV19,対応表!$B:$B,対応表!$C:$C," ")</f>
        <v xml:space="preserve"> </v>
      </c>
      <c r="DX19" s="7" t="s">
        <v>1275</v>
      </c>
      <c r="DY19" s="6" t="str">
        <f>_xlfn.XLOOKUP(DX19,対応表!$B:$B,対応表!$C:$C," ")</f>
        <v xml:space="preserve"> </v>
      </c>
      <c r="DZ19" s="7" t="s">
        <v>1276</v>
      </c>
      <c r="EA19" s="6" t="str">
        <f>_xlfn.XLOOKUP(DZ19,対応表!$B:$B,対応表!$C:$C," ")</f>
        <v xml:space="preserve"> </v>
      </c>
      <c r="EB19" s="7" t="s">
        <v>1277</v>
      </c>
      <c r="EC19" s="6" t="str">
        <f>_xlfn.XLOOKUP(EB19,対応表!$B:$B,対応表!$C:$C," ")</f>
        <v>再?</v>
      </c>
      <c r="ED19" s="7" t="s">
        <v>1278</v>
      </c>
      <c r="EE19" s="6" t="str">
        <f>_xlfn.XLOOKUP(ED19,対応表!$B:$B,対応表!$C:$C," ")</f>
        <v xml:space="preserve"> </v>
      </c>
      <c r="EF19" s="7" t="s">
        <v>1279</v>
      </c>
      <c r="EG19" s="6" t="str">
        <f>_xlfn.XLOOKUP(EF19,対応表!$B:$B,対応表!$C:$C," ")</f>
        <v xml:space="preserve"> </v>
      </c>
      <c r="EH19" s="7" t="s">
        <v>1280</v>
      </c>
      <c r="EI19" s="6" t="str">
        <f>_xlfn.XLOOKUP(EH19,対応表!$B:$B,対応表!$C:$C," ")</f>
        <v xml:space="preserve"> </v>
      </c>
      <c r="EJ19" s="7" t="s">
        <v>1281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1282</v>
      </c>
      <c r="B20" s="7" t="s">
        <v>1283</v>
      </c>
      <c r="C20" s="6" t="str">
        <f>_xlfn.XLOOKUP(B20,対応表!$B:$B,対応表!$C:$C," ")</f>
        <v>生</v>
      </c>
      <c r="D20" s="7" t="s">
        <v>1284</v>
      </c>
      <c r="E20" s="19" t="str" cm="1">
        <f t="array" ref="E20">_xlfn.XLOOKUP(D20,対応表!$B:B,対応表!$C:C,"で")</f>
        <v>で</v>
      </c>
      <c r="F20" s="7" t="s">
        <v>1285</v>
      </c>
      <c r="G20" s="6" t="str">
        <f>_xlfn.XLOOKUP(F20,対応表!$B:$B,対応表!$C:$C," ")</f>
        <v xml:space="preserve"> </v>
      </c>
      <c r="H20" s="7" t="s">
        <v>1286</v>
      </c>
      <c r="I20" s="6" t="str">
        <f>_xlfn.XLOOKUP(H20,対応表!$B:$B,対応表!$C:$C,"で")</f>
        <v>で</v>
      </c>
      <c r="J20" s="7" t="s">
        <v>1287</v>
      </c>
      <c r="K20" s="6" t="str">
        <f>_xlfn.XLOOKUP(J20,対応表!$B:$B,対応表!$C:$C," ")</f>
        <v>さ</v>
      </c>
      <c r="L20" s="7" t="s">
        <v>1288</v>
      </c>
      <c r="M20" s="6" t="str">
        <f>_xlfn.XLOOKUP(L20,対応表!$B:$B,対応表!$C:$C," ")</f>
        <v>日</v>
      </c>
      <c r="N20" s="7" t="s">
        <v>1289</v>
      </c>
      <c r="O20" s="6" t="str">
        <f>_xlfn.XLOOKUP(N20,対応表!$B:$B,対応表!$C:$C," ")</f>
        <v>ず</v>
      </c>
      <c r="P20" s="7" t="s">
        <v>1290</v>
      </c>
      <c r="Q20" s="6" t="str">
        <f>_xlfn.XLOOKUP(P20,対応表!$B:$B,対応表!$C:$C," ")</f>
        <v>ち</v>
      </c>
      <c r="R20" s="7" t="s">
        <v>1291</v>
      </c>
      <c r="S20" s="6" t="str">
        <f>_xlfn.XLOOKUP(R20,対応表!$B:$B,対応表!$C:$C," ")</f>
        <v xml:space="preserve"> </v>
      </c>
      <c r="T20" s="7" t="s">
        <v>1292</v>
      </c>
      <c r="U20" s="6" t="str">
        <f>_xlfn.XLOOKUP(T20,対応表!$B:$B,対応表!$C:$C," ")</f>
        <v xml:space="preserve"> </v>
      </c>
      <c r="V20" s="7" t="s">
        <v>1293</v>
      </c>
      <c r="W20" s="6" t="str">
        <f>_xlfn.XLOOKUP(V20,対応表!$B:$B,対応表!$C:$C," ")</f>
        <v xml:space="preserve"> </v>
      </c>
      <c r="X20" s="7" t="s">
        <v>1294</v>
      </c>
      <c r="Y20" s="6" t="str">
        <f>_xlfn.XLOOKUP(X20,対応表!$B:$B,対応表!$C:$C," ")</f>
        <v xml:space="preserve"> </v>
      </c>
      <c r="Z20" s="7" t="s">
        <v>1295</v>
      </c>
      <c r="AA20" s="6" t="str">
        <f>_xlfn.XLOOKUP(Z20,対応表!$B:$B,対応表!$C:$C," ")</f>
        <v xml:space="preserve"> </v>
      </c>
      <c r="AB20" s="7" t="s">
        <v>1296</v>
      </c>
      <c r="AC20" s="6" t="str">
        <f>_xlfn.XLOOKUP(AB20,対応表!$B:$B,対応表!$C:$C," ")</f>
        <v>ひ</v>
      </c>
      <c r="AD20" s="7" t="s">
        <v>1297</v>
      </c>
      <c r="AE20" s="6" t="str">
        <f>_xlfn.XLOOKUP(AD20,対応表!$B:$B,対応表!$C:$C," ")</f>
        <v xml:space="preserve"> </v>
      </c>
      <c r="AF20" s="7" t="s">
        <v>1298</v>
      </c>
      <c r="AG20" s="6" t="str">
        <f>_xlfn.XLOOKUP(AF20,対応表!$B:$B,対応表!$C:$C," ")</f>
        <v xml:space="preserve"> </v>
      </c>
      <c r="AH20" s="7" t="s">
        <v>1299</v>
      </c>
      <c r="AI20" s="6" t="str">
        <f>_xlfn.XLOOKUP(AH20,対応表!$B:$B,対応表!$C:$C," ")</f>
        <v xml:space="preserve"> </v>
      </c>
      <c r="AJ20" s="7" t="s">
        <v>1300</v>
      </c>
      <c r="AK20" s="6" t="str">
        <f>_xlfn.XLOOKUP(AJ20,対応表!$B:$B,対応表!$C:$C," ")</f>
        <v xml:space="preserve"> </v>
      </c>
      <c r="AL20" s="7" t="s">
        <v>1301</v>
      </c>
      <c r="AM20" s="6" t="str">
        <f>_xlfn.XLOOKUP(AL20,対応表!$B:$B,対応表!$C:$C," ")</f>
        <v xml:space="preserve"> </v>
      </c>
      <c r="AN20" s="7" t="s">
        <v>1302</v>
      </c>
      <c r="AO20" s="6" t="str">
        <f>_xlfn.XLOOKUP(AN20,対応表!$B:$B,対応表!$C:$C," ")</f>
        <v xml:space="preserve"> </v>
      </c>
      <c r="AP20" s="7" t="s">
        <v>1303</v>
      </c>
      <c r="AQ20" s="6" t="str">
        <f>_xlfn.XLOOKUP(AP20,対応表!$B:$B,対応表!$C:$C," ")</f>
        <v xml:space="preserve"> </v>
      </c>
      <c r="AR20" s="7" t="s">
        <v>1304</v>
      </c>
      <c r="AS20" s="6" t="str">
        <f>_xlfn.XLOOKUP(AR20,対応表!$B:$B,対応表!$C:$C," ")</f>
        <v xml:space="preserve"> </v>
      </c>
      <c r="AT20" s="7" t="s">
        <v>1305</v>
      </c>
      <c r="AU20" s="6" t="str">
        <f>_xlfn.XLOOKUP(AT20,対応表!$B:$B,対応表!$C:$C," ")</f>
        <v xml:space="preserve"> </v>
      </c>
      <c r="AV20" s="17" t="s">
        <v>1306</v>
      </c>
      <c r="AW20" s="6" t="str">
        <f>_xlfn.XLOOKUP(AV20,対応表!$B:$B,対応表!$C:$C," ")</f>
        <v xml:space="preserve"> </v>
      </c>
      <c r="AX20" s="7" t="s">
        <v>1307</v>
      </c>
      <c r="AY20" s="6" t="str">
        <f>_xlfn.XLOOKUP(AX20,対応表!$B:$B,対応表!$C:$C," ")</f>
        <v xml:space="preserve"> </v>
      </c>
      <c r="AZ20" s="7" t="s">
        <v>1308</v>
      </c>
      <c r="BA20" s="6" t="str">
        <f>_xlfn.XLOOKUP(AZ20,対応表!$B:$B,対応表!$C:$C," ")</f>
        <v xml:space="preserve"> </v>
      </c>
      <c r="BB20" s="7" t="s">
        <v>1309</v>
      </c>
      <c r="BC20" s="6" t="str">
        <f>_xlfn.XLOOKUP(BB20,対応表!$B:$B,対応表!$C:$C," ")</f>
        <v>小</v>
      </c>
      <c r="BD20" s="7" t="s">
        <v>1310</v>
      </c>
      <c r="BE20" s="6" t="str">
        <f>_xlfn.XLOOKUP(BD20,対応表!$B:$B,対応表!$C:$C," ")</f>
        <v xml:space="preserve"> </v>
      </c>
      <c r="BF20" s="7" t="s">
        <v>1311</v>
      </c>
      <c r="BG20" s="6" t="str">
        <f>_xlfn.XLOOKUP(BF20,対応表!$B:$B,対応表!$C:$C," ")</f>
        <v xml:space="preserve"> </v>
      </c>
      <c r="BH20" s="7" t="s">
        <v>1312</v>
      </c>
      <c r="BI20" s="6" t="str">
        <f>_xlfn.XLOOKUP(BH20,対応表!$B:$B,対応表!$C:$C," ")</f>
        <v xml:space="preserve"> </v>
      </c>
      <c r="BJ20" s="7" t="s">
        <v>1313</v>
      </c>
      <c r="BK20" s="6" t="str">
        <f>_xlfn.XLOOKUP(BJ20,対応表!$B:$B,対応表!$C:$C," ")</f>
        <v xml:space="preserve"> </v>
      </c>
      <c r="BL20" s="7" t="s">
        <v>1314</v>
      </c>
      <c r="BM20" s="6" t="str">
        <f>_xlfn.XLOOKUP(BL20,対応表!$B:$B,対応表!$C:$C," ")</f>
        <v xml:space="preserve"> </v>
      </c>
      <c r="BN20" s="7" t="s">
        <v>1315</v>
      </c>
      <c r="BO20" s="6" t="str">
        <f>_xlfn.XLOOKUP(BN20,対応表!$B:$B,対応表!$C:$C," ")</f>
        <v xml:space="preserve"> </v>
      </c>
      <c r="BP20" s="7" t="s">
        <v>1316</v>
      </c>
      <c r="BQ20" s="6" t="str">
        <f>_xlfn.XLOOKUP(BP20,対応表!$B:$B,対応表!$C:$C," ")</f>
        <v xml:space="preserve"> </v>
      </c>
      <c r="BR20" s="7" t="s">
        <v>1317</v>
      </c>
      <c r="BS20" s="6" t="str">
        <f>_xlfn.XLOOKUP(BR20,対応表!$B:$B,対応表!$C:$C," ")</f>
        <v xml:space="preserve"> </v>
      </c>
      <c r="BT20" s="7" t="s">
        <v>1318</v>
      </c>
      <c r="BU20" s="6" t="str">
        <f>_xlfn.XLOOKUP(BT20,対応表!$B:$B,対応表!$C:$C," ")</f>
        <v xml:space="preserve"> </v>
      </c>
      <c r="BV20" s="7" t="s">
        <v>1319</v>
      </c>
      <c r="BW20" s="6" t="str">
        <f>_xlfn.XLOOKUP(BV20,対応表!$B:$B,対応表!$C:$C," ")</f>
        <v xml:space="preserve"> </v>
      </c>
      <c r="BX20" s="7" t="s">
        <v>1320</v>
      </c>
      <c r="BY20" s="6" t="str">
        <f>_xlfn.XLOOKUP(BX20,対応表!$B:$B,対応表!$C:$C," ")</f>
        <v xml:space="preserve"> </v>
      </c>
      <c r="BZ20" s="7" t="s">
        <v>1321</v>
      </c>
      <c r="CA20" s="6" t="str">
        <f>_xlfn.XLOOKUP(BZ20,対応表!$B:$B,対応表!$C:$C," ")</f>
        <v xml:space="preserve"> </v>
      </c>
      <c r="CB20" s="7" t="s">
        <v>1322</v>
      </c>
      <c r="CC20" s="6" t="str">
        <f>_xlfn.XLOOKUP(CB20,対応表!$B:$B,対応表!$C:$C," ")</f>
        <v xml:space="preserve"> </v>
      </c>
      <c r="CD20" s="7" t="s">
        <v>1323</v>
      </c>
      <c r="CE20" s="6" t="str">
        <f>_xlfn.XLOOKUP(CD20,対応表!$B:$B,対応表!$C:$C," ")</f>
        <v xml:space="preserve"> </v>
      </c>
      <c r="CF20" s="7" t="s">
        <v>1324</v>
      </c>
      <c r="CG20" s="6" t="str">
        <f>_xlfn.XLOOKUP(CF20,対応表!$B:$B,対応表!$C:$C," ")</f>
        <v xml:space="preserve"> </v>
      </c>
      <c r="CH20" s="7" t="s">
        <v>1325</v>
      </c>
      <c r="CI20" s="6" t="str">
        <f>_xlfn.XLOOKUP(CH20,対応表!$B:$B,対応表!$C:$C," ")</f>
        <v xml:space="preserve"> </v>
      </c>
      <c r="CJ20" s="7" t="s">
        <v>1326</v>
      </c>
      <c r="CK20" s="6" t="str">
        <f>_xlfn.XLOOKUP(CJ20,対応表!$B:$B,対応表!$C:$C," ")</f>
        <v xml:space="preserve"> </v>
      </c>
      <c r="CL20" s="7" t="s">
        <v>1327</v>
      </c>
      <c r="CM20" s="6" t="str">
        <f>_xlfn.XLOOKUP(CL20,対応表!$B:$B,対応表!$C:$C," ")</f>
        <v xml:space="preserve"> </v>
      </c>
      <c r="CN20" s="7" t="s">
        <v>1328</v>
      </c>
      <c r="CO20" s="6" t="str">
        <f>_xlfn.XLOOKUP(CN20,対応表!$B:$B,対応表!$C:$C," ")</f>
        <v xml:space="preserve"> </v>
      </c>
      <c r="CP20" s="7" t="s">
        <v>1329</v>
      </c>
      <c r="CQ20" s="6" t="str">
        <f>_xlfn.XLOOKUP(CP20,対応表!$B:$B,対応表!$C:$C," ")</f>
        <v xml:space="preserve"> </v>
      </c>
      <c r="CR20" s="7" t="s">
        <v>1330</v>
      </c>
      <c r="CS20" s="6" t="str">
        <f>_xlfn.XLOOKUP(CR20,対応表!$B:$B,対応表!$C:$C," ")</f>
        <v xml:space="preserve"> </v>
      </c>
      <c r="CT20" s="7" t="s">
        <v>1331</v>
      </c>
      <c r="CU20" s="6" t="str">
        <f>_xlfn.XLOOKUP(CT20,対応表!$B:$B,対応表!$C:$C," ")</f>
        <v xml:space="preserve"> </v>
      </c>
      <c r="CV20" s="7" t="s">
        <v>1332</v>
      </c>
      <c r="CW20" s="6" t="str">
        <f>_xlfn.XLOOKUP(CV20,対応表!$B:$B,対応表!$C:$C," ")</f>
        <v xml:space="preserve"> </v>
      </c>
      <c r="CX20" s="7" t="s">
        <v>1333</v>
      </c>
      <c r="CY20" s="6" t="str">
        <f>_xlfn.XLOOKUP(CX20,対応表!$B:$B,対応表!$C:$C," ")</f>
        <v xml:space="preserve"> </v>
      </c>
      <c r="CZ20" s="7" t="s">
        <v>1334</v>
      </c>
      <c r="DA20" s="6" t="str">
        <f>_xlfn.XLOOKUP(CZ20,対応表!$B:$B,対応表!$C:$C," ")</f>
        <v xml:space="preserve"> </v>
      </c>
      <c r="DB20" s="7" t="s">
        <v>1335</v>
      </c>
      <c r="DC20" s="6" t="str">
        <f>_xlfn.XLOOKUP(DB20,対応表!$B:$B,対応表!$C:$C," ")</f>
        <v xml:space="preserve"> </v>
      </c>
      <c r="DD20" s="7" t="s">
        <v>1336</v>
      </c>
      <c r="DE20" s="6" t="str">
        <f>_xlfn.XLOOKUP(DD20,対応表!$B:$B,対応表!$C:$C," ")</f>
        <v xml:space="preserve"> </v>
      </c>
      <c r="DF20" s="7" t="s">
        <v>1337</v>
      </c>
      <c r="DG20" s="6" t="str">
        <f>_xlfn.XLOOKUP(DF20,対応表!$B:$B,対応表!$C:$C," ")</f>
        <v xml:space="preserve"> </v>
      </c>
      <c r="DH20" s="7" t="s">
        <v>1338</v>
      </c>
      <c r="DI20" s="6" t="str">
        <f>_xlfn.XLOOKUP(DH20,対応表!$B:$B,対応表!$C:$C," ")</f>
        <v xml:space="preserve"> </v>
      </c>
      <c r="DJ20" s="7" t="s">
        <v>1339</v>
      </c>
      <c r="DK20" s="6" t="str">
        <f>_xlfn.XLOOKUP(DJ20,対応表!$B:$B,対応表!$C:$C," ")</f>
        <v xml:space="preserve"> </v>
      </c>
      <c r="DL20" s="7" t="s">
        <v>1340</v>
      </c>
      <c r="DM20" s="6" t="str">
        <f>_xlfn.XLOOKUP(DL20,対応表!$B:$B,対応表!$C:$C," ")</f>
        <v xml:space="preserve"> </v>
      </c>
      <c r="DN20" s="7" t="s">
        <v>1341</v>
      </c>
      <c r="DO20" s="6" t="str">
        <f>_xlfn.XLOOKUP(DN20,対応表!$B:$B,対応表!$C:$C," ")</f>
        <v xml:space="preserve"> </v>
      </c>
      <c r="DP20" s="7" t="s">
        <v>1342</v>
      </c>
      <c r="DQ20" s="6" t="str">
        <f>_xlfn.XLOOKUP(DP20,対応表!$B:$B,対応表!$C:$C," ")</f>
        <v xml:space="preserve"> </v>
      </c>
      <c r="DR20" s="7" t="s">
        <v>1343</v>
      </c>
      <c r="DS20" s="6" t="str">
        <f>_xlfn.XLOOKUP(DR20,対応表!$B:$B,対応表!$C:$C," ")</f>
        <v>化</v>
      </c>
      <c r="DT20" s="7" t="s">
        <v>1344</v>
      </c>
      <c r="DU20" s="6" t="str">
        <f>_xlfn.XLOOKUP(DT20,対応表!$B:$B,対応表!$C:$C," ")</f>
        <v xml:space="preserve"> </v>
      </c>
      <c r="DV20" s="7" t="s">
        <v>1345</v>
      </c>
      <c r="DW20" s="6" t="str">
        <f>_xlfn.XLOOKUP(DV20,対応表!$B:$B,対応表!$C:$C," ")</f>
        <v xml:space="preserve"> </v>
      </c>
      <c r="DX20" s="7" t="s">
        <v>1346</v>
      </c>
      <c r="DY20" s="6" t="str">
        <f>_xlfn.XLOOKUP(DX20,対応表!$B:$B,対応表!$C:$C," ")</f>
        <v xml:space="preserve"> </v>
      </c>
      <c r="DZ20" s="7" t="s">
        <v>1347</v>
      </c>
      <c r="EA20" s="6" t="str">
        <f>_xlfn.XLOOKUP(DZ20,対応表!$B:$B,対応表!$C:$C," ")</f>
        <v xml:space="preserve"> </v>
      </c>
      <c r="EB20" s="7" t="s">
        <v>1348</v>
      </c>
      <c r="EC20" s="6" t="str">
        <f>_xlfn.XLOOKUP(EB20,対応表!$B:$B,対応表!$C:$C," ")</f>
        <v xml:space="preserve"> </v>
      </c>
      <c r="ED20" s="7" t="s">
        <v>1349</v>
      </c>
      <c r="EE20" s="6" t="str">
        <f>_xlfn.XLOOKUP(ED20,対応表!$B:$B,対応表!$C:$C," ")</f>
        <v xml:space="preserve"> </v>
      </c>
      <c r="EF20" s="7" t="s">
        <v>1350</v>
      </c>
      <c r="EG20" s="6" t="str">
        <f>_xlfn.XLOOKUP(EF20,対応表!$B:$B,対応表!$C:$C," ")</f>
        <v xml:space="preserve"> </v>
      </c>
      <c r="EH20" s="7" t="s">
        <v>1351</v>
      </c>
      <c r="EI20" s="6" t="str">
        <f>_xlfn.XLOOKUP(EH20,対応表!$B:$B,対応表!$C:$C," ")</f>
        <v xml:space="preserve"> </v>
      </c>
      <c r="EJ20" s="7" t="s">
        <v>1352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1353</v>
      </c>
      <c r="B21" s="7" t="s">
        <v>1354</v>
      </c>
      <c r="C21" s="6" t="str">
        <f>_xlfn.XLOOKUP(B21,対応表!$B:$B,対応表!$C:$C,"き")</f>
        <v>き</v>
      </c>
      <c r="D21" s="7" t="s">
        <v>1355</v>
      </c>
      <c r="E21" s="19" t="str" cm="1">
        <f t="array" ref="E21">_xlfn.XLOOKUP(D21,対応表!$B:B,対応表!$C:C,"あ")</f>
        <v>あ</v>
      </c>
      <c r="F21" s="7" t="s">
        <v>1356</v>
      </c>
      <c r="G21" s="6" t="str">
        <f>_xlfn.XLOOKUP(F21,対応表!$B:$B,対応表!$C:$C," ")</f>
        <v xml:space="preserve"> </v>
      </c>
      <c r="H21" s="7" t="s">
        <v>1357</v>
      </c>
      <c r="I21" s="6" t="str">
        <f>_xlfn.XLOOKUP(H21,対応表!$B:$B,対応表!$C:$C," ")</f>
        <v>照</v>
      </c>
      <c r="J21" s="7" t="s">
        <v>1358</v>
      </c>
      <c r="K21" s="6" t="str">
        <f>_xlfn.XLOOKUP(J21,対応表!$B:$B,対応表!$C:$C," ")</f>
        <v>も</v>
      </c>
      <c r="L21" s="7" t="s">
        <v>1359</v>
      </c>
      <c r="M21" s="6" t="str">
        <f>_xlfn.XLOOKUP(L21,対応表!$B:$B,対応表!$C:$C,"常")</f>
        <v>常</v>
      </c>
      <c r="N21" s="7" t="s">
        <v>1360</v>
      </c>
      <c r="O21" s="6" t="str">
        <f>_xlfn.XLOOKUP(N21,対応表!$B:$B,対応表!$C:$C," ")</f>
        <v xml:space="preserve"> </v>
      </c>
      <c r="P21" s="7" t="s">
        <v>1361</v>
      </c>
      <c r="Q21" s="6" t="str">
        <f>_xlfn.XLOOKUP(P21,対応表!$B:$B,対応表!$C:$C," ")</f>
        <v>ょ</v>
      </c>
      <c r="R21" s="7" t="s">
        <v>1362</v>
      </c>
      <c r="S21" s="6" t="str">
        <f>_xlfn.XLOOKUP(R21,対応表!$B:$B,対応表!$C:$C," ")</f>
        <v xml:space="preserve"> </v>
      </c>
      <c r="T21" s="7" t="s">
        <v>1363</v>
      </c>
      <c r="U21" s="6" t="str">
        <f>_xlfn.XLOOKUP(T21,対応表!$B:$B,対応表!$C:$C," ")</f>
        <v xml:space="preserve"> </v>
      </c>
      <c r="V21" s="7" t="s">
        <v>1364</v>
      </c>
      <c r="W21" s="6" t="str">
        <f>_xlfn.XLOOKUP(V21,対応表!$B:$B,対応表!$C:$C," ")</f>
        <v>覗</v>
      </c>
      <c r="X21" s="7" t="s">
        <v>1365</v>
      </c>
      <c r="Y21" s="6" t="str">
        <f>_xlfn.XLOOKUP(X21,対応表!$B:$B,対応表!$C:$C," ")</f>
        <v>飾?</v>
      </c>
      <c r="Z21" s="7" t="s">
        <v>1366</v>
      </c>
      <c r="AA21" s="6" t="str">
        <f>_xlfn.XLOOKUP(Z21,対応表!$B:$B,対応表!$C:$C," ")</f>
        <v xml:space="preserve"> </v>
      </c>
      <c r="AB21" s="7" t="s">
        <v>1367</v>
      </c>
      <c r="AC21" s="6" t="str">
        <f>_xlfn.XLOOKUP(AB21,対応表!$B:$B,対応表!$C:$C," ")</f>
        <v>ゅ</v>
      </c>
      <c r="AD21" s="7" t="s">
        <v>1368</v>
      </c>
      <c r="AE21" s="6" t="str">
        <f>_xlfn.XLOOKUP(AD21,対応表!$B:$B,対応表!$C:$C," ")</f>
        <v xml:space="preserve"> </v>
      </c>
      <c r="AF21" s="7" t="s">
        <v>1369</v>
      </c>
      <c r="AG21" s="6" t="str">
        <f>_xlfn.XLOOKUP(AF21,対応表!$B:$B,対応表!$C:$C," ")</f>
        <v xml:space="preserve"> </v>
      </c>
      <c r="AH21" s="7" t="s">
        <v>1370</v>
      </c>
      <c r="AI21" s="6" t="str">
        <f>_xlfn.XLOOKUP(AH21,対応表!$B:$B,対応表!$C:$C," ")</f>
        <v>物</v>
      </c>
      <c r="AJ21" s="7" t="s">
        <v>1371</v>
      </c>
      <c r="AK21" s="6" t="str">
        <f>_xlfn.XLOOKUP(AJ21,対応表!$B:$B,対応表!$C:$C," ")</f>
        <v xml:space="preserve"> </v>
      </c>
      <c r="AL21" s="7" t="s">
        <v>1372</v>
      </c>
      <c r="AM21" s="6" t="str">
        <f>_xlfn.XLOOKUP(AL21,対応表!$B:$B,対応表!$C:$C," ")</f>
        <v xml:space="preserve"> </v>
      </c>
      <c r="AN21" s="7" t="s">
        <v>1373</v>
      </c>
      <c r="AO21" s="6" t="str">
        <f>_xlfn.XLOOKUP(AN21,対応表!$B:$B,対応表!$C:$C," ")</f>
        <v xml:space="preserve"> </v>
      </c>
      <c r="AP21" s="7" t="s">
        <v>1374</v>
      </c>
      <c r="AQ21" s="6" t="str">
        <f>_xlfn.XLOOKUP(AP21,対応表!$B:$B,対応表!$C:$C," ")</f>
        <v xml:space="preserve"> </v>
      </c>
      <c r="AR21" s="7" t="s">
        <v>1375</v>
      </c>
      <c r="AS21" s="6" t="str">
        <f>_xlfn.XLOOKUP(AR21,対応表!$B:$B,対応表!$C:$C," ")</f>
        <v xml:space="preserve"> </v>
      </c>
      <c r="AT21" s="7" t="s">
        <v>1376</v>
      </c>
      <c r="AU21" s="6" t="str">
        <f>_xlfn.XLOOKUP(AT21,対応表!$B:$B,対応表!$C:$C," ")</f>
        <v>ぽ</v>
      </c>
      <c r="AV21" s="7" t="s">
        <v>1377</v>
      </c>
      <c r="AW21" s="6" t="str">
        <f>_xlfn.XLOOKUP(AV21,対応表!$B:$B,対応表!$C:$C," ")</f>
        <v>感?</v>
      </c>
      <c r="AX21" s="7" t="s">
        <v>1378</v>
      </c>
      <c r="AY21" s="6" t="str">
        <f>_xlfn.XLOOKUP(AX21,対応表!$B:$B,対応表!$C:$C," ")</f>
        <v xml:space="preserve"> </v>
      </c>
      <c r="AZ21" s="7" t="s">
        <v>1379</v>
      </c>
      <c r="BA21" s="6" t="str">
        <f>_xlfn.XLOOKUP(AZ21,対応表!$B:$B,対応表!$C:$C," ")</f>
        <v xml:space="preserve"> </v>
      </c>
      <c r="BB21" s="7" t="s">
        <v>1380</v>
      </c>
      <c r="BC21" s="6" t="str">
        <f>_xlfn.XLOOKUP(BB21,対応表!$B:$B,対応表!$C:$C," ")</f>
        <v>楽</v>
      </c>
      <c r="BD21" s="7" t="s">
        <v>1381</v>
      </c>
      <c r="BE21" s="6" t="str">
        <f>_xlfn.XLOOKUP(BD21,対応表!$B:$B,対応表!$C:$C," ")</f>
        <v xml:space="preserve"> </v>
      </c>
      <c r="BF21" s="17" t="s">
        <v>1382</v>
      </c>
      <c r="BG21" s="6" t="str">
        <f>_xlfn.XLOOKUP(BF21,対応表!$B:$B,対応表!$C:$C," ")</f>
        <v xml:space="preserve"> </v>
      </c>
      <c r="BH21" s="7" t="s">
        <v>1383</v>
      </c>
      <c r="BI21" s="6" t="str">
        <f>_xlfn.XLOOKUP(BH21,対応表!$B:$B,対応表!$C:$C," ")</f>
        <v xml:space="preserve"> </v>
      </c>
      <c r="BJ21" s="7" t="s">
        <v>1384</v>
      </c>
      <c r="BK21" s="6" t="str">
        <f>_xlfn.XLOOKUP(BJ21,対応表!$B:$B,対応表!$C:$C," ")</f>
        <v xml:space="preserve"> </v>
      </c>
      <c r="BL21" s="7" t="s">
        <v>1385</v>
      </c>
      <c r="BM21" s="6" t="str">
        <f>_xlfn.XLOOKUP(BL21,対応表!$B:$B,対応表!$C:$C," ")</f>
        <v xml:space="preserve"> </v>
      </c>
      <c r="BN21" s="7" t="s">
        <v>1386</v>
      </c>
      <c r="BO21" s="6" t="str">
        <f>_xlfn.XLOOKUP(BN21,対応表!$B:$B,対応表!$C:$C," ")</f>
        <v xml:space="preserve"> </v>
      </c>
      <c r="BP21" s="7" t="s">
        <v>1387</v>
      </c>
      <c r="BQ21" s="6" t="str">
        <f>_xlfn.XLOOKUP(BP21,対応表!$B:$B,対応表!$C:$C," ")</f>
        <v xml:space="preserve"> </v>
      </c>
      <c r="BR21" s="7" t="s">
        <v>1388</v>
      </c>
      <c r="BS21" s="6" t="str">
        <f>_xlfn.XLOOKUP(BR21,対応表!$B:$B,対応表!$C:$C," ")</f>
        <v xml:space="preserve"> </v>
      </c>
      <c r="BT21" s="7" t="s">
        <v>1389</v>
      </c>
      <c r="BU21" s="6" t="str">
        <f>_xlfn.XLOOKUP(BT21,対応表!$B:$B,対応表!$C:$C," ")</f>
        <v xml:space="preserve"> </v>
      </c>
      <c r="BV21" s="7" t="s">
        <v>1390</v>
      </c>
      <c r="BW21" s="6" t="str">
        <f>_xlfn.XLOOKUP(BV21,対応表!$B:$B,対応表!$C:$C," ")</f>
        <v xml:space="preserve"> </v>
      </c>
      <c r="BX21" s="7" t="s">
        <v>1391</v>
      </c>
      <c r="BY21" s="6" t="str">
        <f>_xlfn.XLOOKUP(BX21,対応表!$B:$B,対応表!$C:$C," ")</f>
        <v xml:space="preserve"> </v>
      </c>
      <c r="BZ21" s="7" t="s">
        <v>1392</v>
      </c>
      <c r="CA21" s="6" t="str">
        <f>_xlfn.XLOOKUP(BZ21,対応表!$B:$B,対応表!$C:$C," ")</f>
        <v xml:space="preserve"> </v>
      </c>
      <c r="CB21" s="7" t="s">
        <v>1393</v>
      </c>
      <c r="CC21" s="6" t="str">
        <f>_xlfn.XLOOKUP(CB21,対応表!$B:$B,対応表!$C:$C," ")</f>
        <v xml:space="preserve"> </v>
      </c>
      <c r="CD21" s="7" t="s">
        <v>1394</v>
      </c>
      <c r="CE21" s="6" t="str">
        <f>_xlfn.XLOOKUP(CD21,対応表!$B:$B,対応表!$C:$C," ")</f>
        <v xml:space="preserve"> </v>
      </c>
      <c r="CF21" s="7" t="s">
        <v>1395</v>
      </c>
      <c r="CG21" s="6" t="str">
        <f>_xlfn.XLOOKUP(CF21,対応表!$B:$B,対応表!$C:$C," ")</f>
        <v xml:space="preserve"> </v>
      </c>
      <c r="CH21" s="7" t="s">
        <v>1396</v>
      </c>
      <c r="CI21" s="6" t="str">
        <f>_xlfn.XLOOKUP(CH21,対応表!$B:$B,対応表!$C:$C," ")</f>
        <v xml:space="preserve"> </v>
      </c>
      <c r="CJ21" s="7" t="s">
        <v>1397</v>
      </c>
      <c r="CK21" s="6" t="str">
        <f>_xlfn.XLOOKUP(CJ21,対応表!$B:$B,対応表!$C:$C," ")</f>
        <v xml:space="preserve"> </v>
      </c>
      <c r="CL21" s="7" t="s">
        <v>1398</v>
      </c>
      <c r="CM21" s="6" t="str">
        <f>_xlfn.XLOOKUP(CL21,対応表!$B:$B,対応表!$C:$C," ")</f>
        <v xml:space="preserve"> </v>
      </c>
      <c r="CN21" s="7" t="s">
        <v>1399</v>
      </c>
      <c r="CO21" s="6" t="str">
        <f>_xlfn.XLOOKUP(CN21,対応表!$B:$B,対応表!$C:$C," ")</f>
        <v xml:space="preserve"> </v>
      </c>
      <c r="CP21" s="7" t="s">
        <v>1400</v>
      </c>
      <c r="CQ21" s="6" t="str">
        <f>_xlfn.XLOOKUP(CP21,対応表!$B:$B,対応表!$C:$C," ")</f>
        <v xml:space="preserve"> </v>
      </c>
      <c r="CR21" s="7" t="s">
        <v>1401</v>
      </c>
      <c r="CS21" s="6" t="str">
        <f>_xlfn.XLOOKUP(CR21,対応表!$B:$B,対応表!$C:$C," ")</f>
        <v xml:space="preserve"> </v>
      </c>
      <c r="CT21" s="7" t="s">
        <v>1402</v>
      </c>
      <c r="CU21" s="6" t="str">
        <f>_xlfn.XLOOKUP(CT21,対応表!$B:$B,対応表!$C:$C," ")</f>
        <v xml:space="preserve"> </v>
      </c>
      <c r="CV21" s="7" t="s">
        <v>1403</v>
      </c>
      <c r="CW21" s="6" t="str">
        <f>_xlfn.XLOOKUP(CV21,対応表!$B:$B,対応表!$C:$C," ")</f>
        <v>我</v>
      </c>
      <c r="CX21" s="7" t="s">
        <v>1404</v>
      </c>
      <c r="CY21" s="6" t="str">
        <f>_xlfn.XLOOKUP(CX21,対応表!$B:$B,対応表!$C:$C," ")</f>
        <v xml:space="preserve"> </v>
      </c>
      <c r="CZ21" s="7" t="s">
        <v>1405</v>
      </c>
      <c r="DA21" s="6" t="str">
        <f>_xlfn.XLOOKUP(CZ21,対応表!$B:$B,対応表!$C:$C," ")</f>
        <v xml:space="preserve"> </v>
      </c>
      <c r="DB21" s="7" t="s">
        <v>1406</v>
      </c>
      <c r="DC21" s="6" t="str">
        <f>_xlfn.XLOOKUP(DB21,対応表!$B:$B,対応表!$C:$C," ")</f>
        <v xml:space="preserve"> </v>
      </c>
      <c r="DD21" s="7" t="s">
        <v>1407</v>
      </c>
      <c r="DE21" s="6" t="str">
        <f>_xlfn.XLOOKUP(DD21,対応表!$B:$B,対応表!$C:$C," ")</f>
        <v xml:space="preserve"> </v>
      </c>
      <c r="DF21" s="7" t="s">
        <v>1408</v>
      </c>
      <c r="DG21" s="6" t="str">
        <f>_xlfn.XLOOKUP(DF21,対応表!$B:$B,対応表!$C:$C," ")</f>
        <v xml:space="preserve"> </v>
      </c>
      <c r="DH21" s="7" t="s">
        <v>1409</v>
      </c>
      <c r="DI21" s="6" t="str">
        <f>_xlfn.XLOOKUP(DH21,対応表!$B:$B,対応表!$C:$C," ")</f>
        <v xml:space="preserve"> </v>
      </c>
      <c r="DJ21" s="7" t="s">
        <v>1410</v>
      </c>
      <c r="DK21" s="6" t="str">
        <f>_xlfn.XLOOKUP(DJ21,対応表!$B:$B,対応表!$C:$C," ")</f>
        <v>加</v>
      </c>
      <c r="DL21" s="7" t="s">
        <v>1411</v>
      </c>
      <c r="DM21" s="6" t="str">
        <f>_xlfn.XLOOKUP(DL21,対応表!$B:$B,対応表!$C:$C," ")</f>
        <v>ゆ</v>
      </c>
      <c r="DN21" s="7" t="s">
        <v>1412</v>
      </c>
      <c r="DO21" s="6" t="str">
        <f>_xlfn.XLOOKUP(DN21,対応表!$B:$B,対応表!$C:$C," ")</f>
        <v>正?</v>
      </c>
      <c r="DP21" s="7" t="s">
        <v>1413</v>
      </c>
      <c r="DQ21" s="6" t="str">
        <f>_xlfn.XLOOKUP(DP21,対応表!$B:$B,対応表!$C:$C," ")</f>
        <v xml:space="preserve"> </v>
      </c>
      <c r="DR21" s="7" t="s">
        <v>1414</v>
      </c>
      <c r="DS21" s="6" t="str">
        <f>_xlfn.XLOOKUP(DR21,対応表!$B:$B,対応表!$C:$C," ")</f>
        <v xml:space="preserve"> </v>
      </c>
      <c r="DT21" s="7" t="s">
        <v>1415</v>
      </c>
      <c r="DU21" s="6" t="str">
        <f>_xlfn.XLOOKUP(DT21,対応表!$B:$B,対応表!$C:$C," ")</f>
        <v xml:space="preserve"> </v>
      </c>
      <c r="DV21" s="7" t="s">
        <v>1416</v>
      </c>
      <c r="DW21" s="6" t="str">
        <f>_xlfn.XLOOKUP(DV21,対応表!$B:$B,対応表!$C:$C," ")</f>
        <v xml:space="preserve"> </v>
      </c>
      <c r="DX21" s="7" t="s">
        <v>1417</v>
      </c>
      <c r="DY21" s="6" t="str">
        <f>_xlfn.XLOOKUP(DX21,対応表!$B:$B,対応表!$C:$C," ")</f>
        <v xml:space="preserve"> </v>
      </c>
      <c r="DZ21" s="7" t="s">
        <v>1418</v>
      </c>
      <c r="EA21" s="6" t="str">
        <f>_xlfn.XLOOKUP(DZ21,対応表!$B:$B,対応表!$C:$C," ")</f>
        <v xml:space="preserve"> </v>
      </c>
      <c r="EB21" s="7" t="s">
        <v>1419</v>
      </c>
      <c r="EC21" s="6" t="str">
        <f>_xlfn.XLOOKUP(EB21,対応表!$B:$B,対応表!$C:$C," ")</f>
        <v xml:space="preserve"> </v>
      </c>
      <c r="ED21" s="7" t="s">
        <v>1420</v>
      </c>
      <c r="EE21" s="6" t="str">
        <f>_xlfn.XLOOKUP(ED21,対応表!$B:$B,対応表!$C:$C," ")</f>
        <v xml:space="preserve"> </v>
      </c>
      <c r="EF21" s="7" t="s">
        <v>1421</v>
      </c>
      <c r="EG21" s="6" t="str">
        <f>_xlfn.XLOOKUP(EF21,対応表!$B:$B,対応表!$C:$C," ")</f>
        <v xml:space="preserve"> </v>
      </c>
      <c r="EH21" s="7" t="s">
        <v>1422</v>
      </c>
      <c r="EI21" s="6" t="str">
        <f>_xlfn.XLOOKUP(EH21,対応表!$B:$B,対応表!$C:$C," ")</f>
        <v xml:space="preserve"> </v>
      </c>
      <c r="EJ21" s="7" t="s">
        <v>1423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1424</v>
      </c>
      <c r="B22" s="7" t="s">
        <v>1425</v>
      </c>
      <c r="C22" s="6" t="str">
        <f>_xlfn.XLOOKUP(B22,対応表!$B:$B,対応表!$C:$C,"延")</f>
        <v>延?</v>
      </c>
      <c r="D22" s="7" t="s">
        <v>1426</v>
      </c>
      <c r="E22" s="19" t="str" cm="1">
        <f t="array" ref="E22">_xlfn.XLOOKUP(D22,対応表!$B:B,対応表!$C:C,"る")</f>
        <v>る</v>
      </c>
      <c r="F22" s="7" t="s">
        <v>1427</v>
      </c>
      <c r="G22" s="6" t="str">
        <f>_xlfn.XLOOKUP(F22,対応表!$B:$B,対応表!$C:$C," ")</f>
        <v>影</v>
      </c>
      <c r="H22" s="7" t="s">
        <v>1428</v>
      </c>
      <c r="I22" s="6" t="str">
        <f>_xlfn.XLOOKUP(H22,対応表!$B:$B,対応表!$C:$C," ")</f>
        <v>ら</v>
      </c>
      <c r="J22" s="7" t="s">
        <v>1429</v>
      </c>
      <c r="K22" s="22" t="str">
        <f>_xlfn.XLOOKUP(J22,対応表!$B:$B,対応表!$C:$C,"な")</f>
        <v>な</v>
      </c>
      <c r="L22" s="7" t="s">
        <v>1430</v>
      </c>
      <c r="M22" s="6" t="str">
        <f>_xlfn.XLOOKUP(L22,対応表!$B:$B,対応表!$C:$C,"の")</f>
        <v>の</v>
      </c>
      <c r="N22" s="7" t="s">
        <v>1431</v>
      </c>
      <c r="O22" s="6" t="str">
        <f>_xlfn.XLOOKUP(N22,対応表!$B:$B,対応表!$C:$C," ")</f>
        <v xml:space="preserve"> </v>
      </c>
      <c r="P22" s="7" t="s">
        <v>1432</v>
      </c>
      <c r="Q22" s="6" t="str">
        <f>_xlfn.XLOOKUP(P22,対応表!$B:$B,対応表!$C:$C,"う")</f>
        <v>う</v>
      </c>
      <c r="R22" s="7" t="s">
        <v>1433</v>
      </c>
      <c r="S22" s="6" t="str">
        <f>_xlfn.XLOOKUP(R22,対応表!$B:$B,対応表!$C:$C," ")</f>
        <v>間</v>
      </c>
      <c r="T22" s="7" t="s">
        <v>1435</v>
      </c>
      <c r="U22" s="6" t="str">
        <f>_xlfn.XLOOKUP(T22,対応表!$B:$B,対応表!$C:$C," ")</f>
        <v xml:space="preserve"> </v>
      </c>
      <c r="V22" s="7" t="s">
        <v>1436</v>
      </c>
      <c r="W22" s="6" t="str">
        <f>_xlfn.XLOOKUP(V22,対応表!$B:$B,対応表!$C:$C," ")</f>
        <v xml:space="preserve"> </v>
      </c>
      <c r="X22" s="7" t="s">
        <v>1437</v>
      </c>
      <c r="Y22" s="6" t="str">
        <f>_xlfn.XLOOKUP(X22,対応表!$B:$B,対応表!$C:$C," ")</f>
        <v xml:space="preserve"> </v>
      </c>
      <c r="Z22" s="7" t="s">
        <v>1438</v>
      </c>
      <c r="AA22" s="6" t="str">
        <f>_xlfn.XLOOKUP(Z22,対応表!$B:$B,対応表!$C:$C," ")</f>
        <v xml:space="preserve"> </v>
      </c>
      <c r="AB22" s="7" t="s">
        <v>1439</v>
      </c>
      <c r="AC22" s="6" t="str">
        <f>_xlfn.XLOOKUP(AB22,対応表!$B:$B,対応表!$C:$C," ")</f>
        <v xml:space="preserve"> </v>
      </c>
      <c r="AD22" s="7" t="s">
        <v>1440</v>
      </c>
      <c r="AE22" s="6" t="str">
        <f>_xlfn.XLOOKUP(AD22,対応表!$B:$B,対応表!$C:$C," ")</f>
        <v xml:space="preserve"> </v>
      </c>
      <c r="AF22" s="7" t="s">
        <v>1441</v>
      </c>
      <c r="AG22" s="6" t="str">
        <f>_xlfn.XLOOKUP(AF22,対応表!$B:$B,対応表!$C:$C," ")</f>
        <v xml:space="preserve"> </v>
      </c>
      <c r="AH22" s="7" t="s">
        <v>1442</v>
      </c>
      <c r="AI22" s="6" t="str">
        <f>_xlfn.XLOOKUP(AH22,対応表!$B:$B,対応表!$C:$C," ")</f>
        <v xml:space="preserve"> </v>
      </c>
      <c r="AJ22" s="7" t="s">
        <v>1443</v>
      </c>
      <c r="AK22" s="6" t="str">
        <f>_xlfn.XLOOKUP(AJ22,対応表!$B:$B,対応表!$C:$C," ")</f>
        <v xml:space="preserve"> </v>
      </c>
      <c r="AL22" s="7" t="s">
        <v>1444</v>
      </c>
      <c r="AM22" s="6" t="str">
        <f>_xlfn.XLOOKUP(AL22,対応表!$B:$B,対応表!$C:$C," ")</f>
        <v xml:space="preserve"> </v>
      </c>
      <c r="AN22" s="7" t="s">
        <v>1445</v>
      </c>
      <c r="AO22" s="6" t="str">
        <f>_xlfn.XLOOKUP(AN22,対応表!$B:$B,対応表!$C:$C," ")</f>
        <v xml:space="preserve"> </v>
      </c>
      <c r="AP22" s="7" t="s">
        <v>1446</v>
      </c>
      <c r="AQ22" s="6" t="str">
        <f>_xlfn.XLOOKUP(AP22,対応表!$B:$B,対応表!$C:$C," ")</f>
        <v xml:space="preserve"> </v>
      </c>
      <c r="AR22" s="7" t="s">
        <v>1447</v>
      </c>
      <c r="AS22" s="6" t="str">
        <f>_xlfn.XLOOKUP(AR22,対応表!$B:$B,対応表!$C:$C," ")</f>
        <v xml:space="preserve"> </v>
      </c>
      <c r="AT22" s="7" t="s">
        <v>1448</v>
      </c>
      <c r="AU22" s="6" t="str">
        <f>_xlfn.XLOOKUP(AT22,対応表!$B:$B,対応表!$C:$C," ")</f>
        <v xml:space="preserve"> </v>
      </c>
      <c r="AV22" s="7" t="s">
        <v>1449</v>
      </c>
      <c r="AW22" s="6" t="str">
        <f>_xlfn.XLOOKUP(AV22,対応表!$B:$B,対応表!$C:$C," ")</f>
        <v xml:space="preserve"> </v>
      </c>
      <c r="AX22" s="7" t="s">
        <v>1450</v>
      </c>
      <c r="AY22" s="6" t="str">
        <f>_xlfn.XLOOKUP(AX22,対応表!$B:$B,対応表!$C:$C," ")</f>
        <v>塞?</v>
      </c>
      <c r="AZ22" s="7" t="s">
        <v>1451</v>
      </c>
      <c r="BA22" s="6" t="str">
        <f>_xlfn.XLOOKUP(AZ22,対応表!$B:$B,対応表!$C:$C," ")</f>
        <v xml:space="preserve"> </v>
      </c>
      <c r="BB22" s="7" t="s">
        <v>1452</v>
      </c>
      <c r="BC22" s="6" t="str">
        <f>_xlfn.XLOOKUP(BB22,対応表!$B:$B,対応表!$C:$C," ")</f>
        <v xml:space="preserve"> </v>
      </c>
      <c r="BD22" s="7" t="s">
        <v>1453</v>
      </c>
      <c r="BE22" s="6" t="str">
        <f>_xlfn.XLOOKUP(BD22,対応表!$B:$B,対応表!$C:$C," ")</f>
        <v>歩</v>
      </c>
      <c r="BF22" s="7" t="s">
        <v>1454</v>
      </c>
      <c r="BG22" s="6" t="str">
        <f>_xlfn.XLOOKUP(BF22,対応表!$B:$B,対応表!$C:$C," ")</f>
        <v xml:space="preserve"> </v>
      </c>
      <c r="BH22" s="7" t="s">
        <v>1455</v>
      </c>
      <c r="BI22" s="6" t="str">
        <f>_xlfn.XLOOKUP(BH22,対応表!$B:$B,対応表!$C:$C," ")</f>
        <v xml:space="preserve"> </v>
      </c>
      <c r="BJ22" s="17" t="s">
        <v>1456</v>
      </c>
      <c r="BK22" s="6" t="str">
        <f>_xlfn.XLOOKUP(BJ22,対応表!$B:$B,対応表!$C:$C," ")</f>
        <v xml:space="preserve"> </v>
      </c>
      <c r="BL22" s="7" t="s">
        <v>1457</v>
      </c>
      <c r="BM22" s="6" t="str">
        <f>_xlfn.XLOOKUP(BL22,対応表!$B:$B,対応表!$C:$C," ")</f>
        <v xml:space="preserve"> </v>
      </c>
      <c r="BN22" s="7" t="s">
        <v>1458</v>
      </c>
      <c r="BO22" s="6" t="str">
        <f>_xlfn.XLOOKUP(BN22,対応表!$B:$B,対応表!$C:$C," ")</f>
        <v xml:space="preserve"> </v>
      </c>
      <c r="BP22" s="17" t="s">
        <v>1459</v>
      </c>
      <c r="BQ22" s="6" t="str">
        <f>_xlfn.XLOOKUP(BP22,対応表!$B:$B,対応表!$C:$C," ")</f>
        <v xml:space="preserve"> </v>
      </c>
      <c r="BR22" s="7" t="s">
        <v>1460</v>
      </c>
      <c r="BS22" s="6" t="str">
        <f>_xlfn.XLOOKUP(BR22,対応表!$B:$B,対応表!$C:$C," ")</f>
        <v xml:space="preserve"> </v>
      </c>
      <c r="BT22" s="7" t="s">
        <v>1461</v>
      </c>
      <c r="BU22" s="6" t="str">
        <f>_xlfn.XLOOKUP(BT22,対応表!$B:$B,対応表!$C:$C," ")</f>
        <v xml:space="preserve"> </v>
      </c>
      <c r="BV22" s="7" t="s">
        <v>1462</v>
      </c>
      <c r="BW22" s="6" t="str">
        <f>_xlfn.XLOOKUP(BV22,対応表!$B:$B,対応表!$C:$C," ")</f>
        <v xml:space="preserve"> </v>
      </c>
      <c r="BX22" s="7" t="s">
        <v>1463</v>
      </c>
      <c r="BY22" s="6" t="str">
        <f>_xlfn.XLOOKUP(BX22,対応表!$B:$B,対応表!$C:$C," ")</f>
        <v xml:space="preserve"> </v>
      </c>
      <c r="BZ22" s="7" t="s">
        <v>1464</v>
      </c>
      <c r="CA22" s="6" t="str">
        <f>_xlfn.XLOOKUP(BZ22,対応表!$B:$B,対応表!$C:$C," ")</f>
        <v xml:space="preserve"> </v>
      </c>
      <c r="CB22" s="7" t="s">
        <v>1465</v>
      </c>
      <c r="CC22" s="6" t="str">
        <f>_xlfn.XLOOKUP(CB22,対応表!$B:$B,対応表!$C:$C," ")</f>
        <v xml:space="preserve"> </v>
      </c>
      <c r="CD22" s="7" t="s">
        <v>1466</v>
      </c>
      <c r="CE22" s="6" t="str">
        <f>_xlfn.XLOOKUP(CD22,対応表!$B:$B,対応表!$C:$C," ")</f>
        <v>恐</v>
      </c>
      <c r="CF22" s="7" t="s">
        <v>1467</v>
      </c>
      <c r="CG22" s="6" t="str">
        <f>_xlfn.XLOOKUP(CF22,対応表!$B:$B,対応表!$C:$C," ")</f>
        <v xml:space="preserve"> </v>
      </c>
      <c r="CH22" s="7" t="s">
        <v>1468</v>
      </c>
      <c r="CI22" s="6" t="str">
        <f>_xlfn.XLOOKUP(CH22,対応表!$B:$B,対応表!$C:$C," ")</f>
        <v>性</v>
      </c>
      <c r="CJ22" s="7" t="s">
        <v>1469</v>
      </c>
      <c r="CK22" s="6" t="str">
        <f>_xlfn.XLOOKUP(CJ22,対応表!$B:$B,対応表!$C:$C," ")</f>
        <v xml:space="preserve"> </v>
      </c>
      <c r="CL22" s="7" t="s">
        <v>1470</v>
      </c>
      <c r="CM22" s="6" t="str">
        <f>_xlfn.XLOOKUP(CL22,対応表!$B:$B,対応表!$C:$C," ")</f>
        <v xml:space="preserve"> </v>
      </c>
      <c r="CN22" s="7" t="s">
        <v>1471</v>
      </c>
      <c r="CO22" s="6" t="str">
        <f>_xlfn.XLOOKUP(CN22,対応表!$B:$B,対応表!$C:$C," ")</f>
        <v xml:space="preserve"> </v>
      </c>
      <c r="CP22" s="7" t="s">
        <v>1472</v>
      </c>
      <c r="CQ22" s="6" t="str">
        <f>_xlfn.XLOOKUP(CP22,対応表!$B:$B,対応表!$C:$C," ")</f>
        <v xml:space="preserve"> </v>
      </c>
      <c r="CR22" s="7" t="s">
        <v>1473</v>
      </c>
      <c r="CS22" s="6" t="str">
        <f>_xlfn.XLOOKUP(CR22,対応表!$B:$B,対応表!$C:$C," ")</f>
        <v xml:space="preserve"> </v>
      </c>
      <c r="CT22" s="7" t="s">
        <v>1474</v>
      </c>
      <c r="CU22" s="6" t="str">
        <f>_xlfn.XLOOKUP(CT22,対応表!$B:$B,対応表!$C:$C," ")</f>
        <v xml:space="preserve"> </v>
      </c>
      <c r="CV22" s="7" t="s">
        <v>1475</v>
      </c>
      <c r="CW22" s="6" t="str">
        <f>_xlfn.XLOOKUP(CV22,対応表!$B:$B,対応表!$C:$C," ")</f>
        <v xml:space="preserve"> </v>
      </c>
      <c r="CX22" s="7" t="s">
        <v>1476</v>
      </c>
      <c r="CY22" s="6" t="str">
        <f>_xlfn.XLOOKUP(CX22,対応表!$B:$B,対応表!$C:$C," ")</f>
        <v xml:space="preserve"> </v>
      </c>
      <c r="CZ22" s="17" t="s">
        <v>1477</v>
      </c>
      <c r="DA22" s="6" t="str">
        <f>_xlfn.XLOOKUP(CZ22,対応表!$B:$B,対応表!$C:$C," ")</f>
        <v xml:space="preserve"> </v>
      </c>
      <c r="DB22" s="7" t="s">
        <v>1478</v>
      </c>
      <c r="DC22" s="6" t="str">
        <f>_xlfn.XLOOKUP(DB22,対応表!$B:$B,対応表!$C:$C," ")</f>
        <v xml:space="preserve"> </v>
      </c>
      <c r="DD22" s="7" t="s">
        <v>1479</v>
      </c>
      <c r="DE22" s="6" t="str">
        <f>_xlfn.XLOOKUP(DD22,対応表!$B:$B,対応表!$C:$C," ")</f>
        <v xml:space="preserve"> </v>
      </c>
      <c r="DF22" s="7" t="s">
        <v>1480</v>
      </c>
      <c r="DG22" s="6" t="str">
        <f>_xlfn.XLOOKUP(DF22,対応表!$B:$B,対応表!$C:$C," ")</f>
        <v xml:space="preserve"> </v>
      </c>
      <c r="DH22" s="7" t="s">
        <v>1481</v>
      </c>
      <c r="DI22" s="6" t="str">
        <f>_xlfn.XLOOKUP(DH22,対応表!$B:$B,対応表!$C:$C," ")</f>
        <v xml:space="preserve"> </v>
      </c>
      <c r="DJ22" s="7" t="s">
        <v>1482</v>
      </c>
      <c r="DK22" s="6" t="str">
        <f>_xlfn.XLOOKUP(DJ22,対応表!$B:$B,対応表!$C:$C," ")</f>
        <v xml:space="preserve"> </v>
      </c>
      <c r="DL22" s="7" t="s">
        <v>1483</v>
      </c>
      <c r="DM22" s="6" t="str">
        <f>_xlfn.XLOOKUP(DL22,対応表!$B:$B,対応表!$C:$C," ")</f>
        <v xml:space="preserve"> </v>
      </c>
      <c r="DN22" s="7" t="s">
        <v>1484</v>
      </c>
      <c r="DO22" s="6" t="str">
        <f>_xlfn.XLOOKUP(DN22,対応表!$B:$B,対応表!$C:$C," ")</f>
        <v xml:space="preserve"> </v>
      </c>
      <c r="DP22" s="7" t="s">
        <v>1485</v>
      </c>
      <c r="DQ22" s="6" t="str">
        <f>_xlfn.XLOOKUP(DP22,対応表!$B:$B,対応表!$C:$C," ")</f>
        <v xml:space="preserve"> </v>
      </c>
      <c r="DR22" s="7" t="s">
        <v>1486</v>
      </c>
      <c r="DS22" s="6" t="str">
        <f>_xlfn.XLOOKUP(DR22,対応表!$B:$B,対応表!$C:$C," ")</f>
        <v xml:space="preserve"> </v>
      </c>
      <c r="DT22" s="7" t="s">
        <v>1487</v>
      </c>
      <c r="DU22" s="6" t="str">
        <f>_xlfn.XLOOKUP(DT22,対応表!$B:$B,対応表!$C:$C," ")</f>
        <v xml:space="preserve"> </v>
      </c>
      <c r="DV22" s="7" t="s">
        <v>1488</v>
      </c>
      <c r="DW22" s="6" t="str">
        <f>_xlfn.XLOOKUP(DV22,対応表!$B:$B,対応表!$C:$C," ")</f>
        <v xml:space="preserve"> </v>
      </c>
      <c r="DX22" s="7" t="s">
        <v>1489</v>
      </c>
      <c r="DY22" s="6" t="str">
        <f>_xlfn.XLOOKUP(DX22,対応表!$B:$B,対応表!$C:$C," ")</f>
        <v>次?</v>
      </c>
      <c r="DZ22" s="7" t="s">
        <v>1490</v>
      </c>
      <c r="EA22" s="6" t="str">
        <f>_xlfn.XLOOKUP(DZ22,対応表!$B:$B,対応表!$C:$C," ")</f>
        <v xml:space="preserve"> </v>
      </c>
      <c r="EB22" s="7" t="s">
        <v>1491</v>
      </c>
      <c r="EC22" s="6" t="str">
        <f>_xlfn.XLOOKUP(EB22,対応表!$B:$B,対応表!$C:$C," ")</f>
        <v xml:space="preserve"> </v>
      </c>
      <c r="ED22" s="7" t="s">
        <v>1492</v>
      </c>
      <c r="EE22" s="6" t="str">
        <f>_xlfn.XLOOKUP(ED22,対応表!$B:$B,対応表!$C:$C," ")</f>
        <v xml:space="preserve"> </v>
      </c>
      <c r="EF22" s="7" t="s">
        <v>1493</v>
      </c>
      <c r="EG22" s="6" t="str">
        <f>_xlfn.XLOOKUP(EF22,対応表!$B:$B,対応表!$C:$C," ")</f>
        <v xml:space="preserve"> </v>
      </c>
      <c r="EH22" s="7" t="s">
        <v>1494</v>
      </c>
      <c r="EI22" s="6" t="str">
        <f>_xlfn.XLOOKUP(EH22,対応表!$B:$B,対応表!$C:$C," ")</f>
        <v xml:space="preserve"> </v>
      </c>
      <c r="EJ22" s="7" t="s">
        <v>1495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4"/>
  <sheetViews>
    <sheetView zoomScale="130" zoomScaleNormal="130" workbookViewId="0">
      <selection activeCell="D24" sqref="D24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4" x14ac:dyDescent="0.4">
      <c r="A1" s="23" t="s">
        <v>1898</v>
      </c>
    </row>
    <row r="3" spans="1:4" x14ac:dyDescent="0.4">
      <c r="A3" s="1" t="s">
        <v>1143</v>
      </c>
    </row>
    <row r="4" spans="1:4" x14ac:dyDescent="0.4">
      <c r="A4" s="1" t="s">
        <v>312</v>
      </c>
    </row>
    <row r="5" spans="1:4" x14ac:dyDescent="0.4">
      <c r="A5" s="1" t="s">
        <v>893</v>
      </c>
    </row>
    <row r="6" spans="1:4" x14ac:dyDescent="0.4">
      <c r="A6" s="1" t="s">
        <v>153</v>
      </c>
    </row>
    <row r="7" spans="1:4" x14ac:dyDescent="0.4">
      <c r="A7" s="1" t="s">
        <v>75</v>
      </c>
    </row>
    <row r="8" spans="1:4" x14ac:dyDescent="0.4">
      <c r="A8" s="1" t="s">
        <v>998</v>
      </c>
    </row>
    <row r="9" spans="1:4" x14ac:dyDescent="0.4">
      <c r="A9" s="1" t="s">
        <v>1214</v>
      </c>
    </row>
    <row r="10" spans="1:4" x14ac:dyDescent="0.4">
      <c r="A10" s="1" t="s">
        <v>152</v>
      </c>
    </row>
    <row r="11" spans="1:4" x14ac:dyDescent="0.4">
      <c r="A11" s="1" t="s">
        <v>373</v>
      </c>
    </row>
    <row r="12" spans="1:4" ht="20.25" x14ac:dyDescent="0.4">
      <c r="C12" s="29" t="s">
        <v>2036</v>
      </c>
      <c r="D12" s="37" t="s">
        <v>2168</v>
      </c>
    </row>
    <row r="13" spans="1:4" ht="20.25" x14ac:dyDescent="0.4">
      <c r="C13" s="28" t="s">
        <v>2034</v>
      </c>
      <c r="D13" s="37" t="s">
        <v>2169</v>
      </c>
    </row>
    <row r="14" spans="1:4" ht="20.25" x14ac:dyDescent="0.4">
      <c r="C14" s="28" t="s">
        <v>2033</v>
      </c>
      <c r="D14" s="37" t="s">
        <v>2170</v>
      </c>
    </row>
    <row r="16" spans="1:4" ht="20.25" x14ac:dyDescent="0.4">
      <c r="C16" s="28" t="s">
        <v>2171</v>
      </c>
    </row>
    <row r="18" spans="3:4" ht="20.25" x14ac:dyDescent="0.4">
      <c r="C18" s="28" t="s">
        <v>2035</v>
      </c>
      <c r="D18" s="37" t="s">
        <v>2172</v>
      </c>
    </row>
    <row r="19" spans="3:4" ht="20.25" x14ac:dyDescent="0.4">
      <c r="C19" s="29" t="s">
        <v>2048</v>
      </c>
      <c r="D19" s="37" t="s">
        <v>2097</v>
      </c>
    </row>
    <row r="20" spans="3:4" x14ac:dyDescent="0.4">
      <c r="C20" s="1" t="s">
        <v>2030</v>
      </c>
      <c r="D20" s="37" t="s">
        <v>2173</v>
      </c>
    </row>
    <row r="21" spans="3:4" x14ac:dyDescent="0.4">
      <c r="C21" s="1" t="s">
        <v>2031</v>
      </c>
      <c r="D21" s="37" t="s">
        <v>2174</v>
      </c>
    </row>
    <row r="22" spans="3:4" x14ac:dyDescent="0.4">
      <c r="C22" s="1" t="s">
        <v>2032</v>
      </c>
      <c r="D22" s="37" t="s">
        <v>2176</v>
      </c>
    </row>
    <row r="23" spans="3:4" x14ac:dyDescent="0.4">
      <c r="C23" s="1" t="s">
        <v>2037</v>
      </c>
      <c r="D23" s="37" t="s">
        <v>2175</v>
      </c>
    </row>
    <row r="24" spans="3:4" x14ac:dyDescent="0.4">
      <c r="C24" s="1" t="s">
        <v>2177</v>
      </c>
      <c r="D24" s="37" t="s">
        <v>2178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19"/>
  <sheetViews>
    <sheetView zoomScaleNormal="100" workbookViewId="0">
      <pane ySplit="1" topLeftCell="A2" activePane="bottomLeft" state="frozen"/>
      <selection pane="bottomLeft" activeCell="D20" sqref="D20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35" t="s">
        <v>2152</v>
      </c>
      <c r="C1" s="36" t="s">
        <v>2153</v>
      </c>
      <c r="D1" s="36" t="s">
        <v>2154</v>
      </c>
      <c r="E1" s="36" t="s">
        <v>2381</v>
      </c>
    </row>
    <row r="2" spans="2:5" x14ac:dyDescent="0.4">
      <c r="B2" s="38" t="s">
        <v>2149</v>
      </c>
      <c r="C2" s="36" t="s">
        <v>2150</v>
      </c>
      <c r="D2" s="36" t="s">
        <v>2151</v>
      </c>
      <c r="E2" s="36" t="s">
        <v>2382</v>
      </c>
    </row>
    <row r="3" spans="2:5" x14ac:dyDescent="0.4">
      <c r="B3" s="35" t="s">
        <v>2274</v>
      </c>
      <c r="C3" s="36" t="s">
        <v>2275</v>
      </c>
      <c r="D3" s="36" t="s">
        <v>2276</v>
      </c>
      <c r="E3" s="36" t="s">
        <v>2382</v>
      </c>
    </row>
    <row r="4" spans="2:5" x14ac:dyDescent="0.4">
      <c r="B4" s="35" t="s">
        <v>2277</v>
      </c>
      <c r="C4" s="36" t="s">
        <v>2278</v>
      </c>
      <c r="D4" s="36" t="s">
        <v>2279</v>
      </c>
      <c r="E4" s="36" t="s">
        <v>2382</v>
      </c>
    </row>
    <row r="5" spans="2:5" x14ac:dyDescent="0.4">
      <c r="B5" s="35" t="s">
        <v>2280</v>
      </c>
      <c r="C5" s="36" t="s">
        <v>2281</v>
      </c>
      <c r="D5" s="36" t="s">
        <v>2282</v>
      </c>
      <c r="E5" s="36" t="s">
        <v>2382</v>
      </c>
    </row>
    <row r="6" spans="2:5" x14ac:dyDescent="0.4">
      <c r="B6" s="35" t="s">
        <v>2283</v>
      </c>
      <c r="C6" s="36" t="s">
        <v>2284</v>
      </c>
      <c r="D6" s="36" t="s">
        <v>2285</v>
      </c>
      <c r="E6" s="36" t="s">
        <v>2382</v>
      </c>
    </row>
    <row r="7" spans="2:5" x14ac:dyDescent="0.4">
      <c r="B7" s="35" t="s">
        <v>2286</v>
      </c>
      <c r="C7" s="36" t="s">
        <v>2287</v>
      </c>
      <c r="D7" s="36" t="s">
        <v>2288</v>
      </c>
      <c r="E7" s="36" t="s">
        <v>2382</v>
      </c>
    </row>
    <row r="8" spans="2:5" x14ac:dyDescent="0.4">
      <c r="B8" s="35" t="s">
        <v>2289</v>
      </c>
      <c r="C8" s="36" t="s">
        <v>2079</v>
      </c>
      <c r="D8" s="36" t="s">
        <v>2290</v>
      </c>
      <c r="E8" s="36" t="s">
        <v>2382</v>
      </c>
    </row>
    <row r="9" spans="2:5" x14ac:dyDescent="0.4">
      <c r="B9" s="35" t="s">
        <v>2291</v>
      </c>
      <c r="C9" s="36" t="s">
        <v>2292</v>
      </c>
      <c r="D9" s="36" t="s">
        <v>2293</v>
      </c>
      <c r="E9" s="36" t="s">
        <v>2382</v>
      </c>
    </row>
    <row r="10" spans="2:5" x14ac:dyDescent="0.4">
      <c r="B10" s="35" t="s">
        <v>2294</v>
      </c>
      <c r="C10" s="36" t="s">
        <v>2077</v>
      </c>
      <c r="D10" s="36" t="s">
        <v>2295</v>
      </c>
      <c r="E10" s="36" t="s">
        <v>2382</v>
      </c>
    </row>
    <row r="11" spans="2:5" x14ac:dyDescent="0.4">
      <c r="B11" s="35" t="s">
        <v>2296</v>
      </c>
      <c r="C11" s="36" t="s">
        <v>2297</v>
      </c>
      <c r="D11" s="36" t="s">
        <v>2298</v>
      </c>
      <c r="E11" s="36" t="s">
        <v>2382</v>
      </c>
    </row>
    <row r="12" spans="2:5" x14ac:dyDescent="0.4">
      <c r="B12" s="39" t="s">
        <v>2299</v>
      </c>
      <c r="C12" s="40" t="s">
        <v>2300</v>
      </c>
      <c r="D12" s="40" t="s">
        <v>2298</v>
      </c>
      <c r="E12" s="40" t="s">
        <v>2383</v>
      </c>
    </row>
    <row r="13" spans="2:5" x14ac:dyDescent="0.4">
      <c r="B13" s="35" t="s">
        <v>2301</v>
      </c>
      <c r="C13" s="36" t="s">
        <v>2082</v>
      </c>
      <c r="D13" s="36" t="s">
        <v>2298</v>
      </c>
      <c r="E13" s="36" t="s">
        <v>2382</v>
      </c>
    </row>
    <row r="14" spans="2:5" x14ac:dyDescent="0.4">
      <c r="B14" s="35" t="s">
        <v>2379</v>
      </c>
      <c r="C14" s="36" t="s">
        <v>2380</v>
      </c>
      <c r="D14" s="36" t="s">
        <v>2298</v>
      </c>
      <c r="E14" s="36" t="s">
        <v>2382</v>
      </c>
    </row>
    <row r="15" spans="2:5" x14ac:dyDescent="0.4">
      <c r="B15" s="35" t="s">
        <v>2452</v>
      </c>
      <c r="C15" s="36" t="s">
        <v>2451</v>
      </c>
      <c r="D15" s="36" t="s">
        <v>2298</v>
      </c>
      <c r="E15" s="36" t="s">
        <v>2382</v>
      </c>
    </row>
    <row r="16" spans="2:5" x14ac:dyDescent="0.4">
      <c r="B16" s="35" t="s">
        <v>2453</v>
      </c>
      <c r="C16" s="36" t="s">
        <v>2454</v>
      </c>
      <c r="D16" s="36" t="s">
        <v>2298</v>
      </c>
      <c r="E16" s="36" t="s">
        <v>2382</v>
      </c>
    </row>
    <row r="17" spans="2:5" x14ac:dyDescent="0.4">
      <c r="B17" s="35" t="s">
        <v>2456</v>
      </c>
      <c r="C17" s="36" t="s">
        <v>2455</v>
      </c>
      <c r="D17" s="36" t="s">
        <v>2298</v>
      </c>
      <c r="E17" s="36" t="s">
        <v>2382</v>
      </c>
    </row>
    <row r="18" spans="2:5" x14ac:dyDescent="0.4">
      <c r="B18" s="35" t="s">
        <v>2109</v>
      </c>
      <c r="C18" s="36" t="s">
        <v>2457</v>
      </c>
      <c r="D18" s="36" t="s">
        <v>2298</v>
      </c>
      <c r="E18" s="36" t="s">
        <v>2382</v>
      </c>
    </row>
    <row r="19" spans="2:5" x14ac:dyDescent="0.4">
      <c r="B19" s="35" t="s">
        <v>2497</v>
      </c>
      <c r="C19" s="36" t="s">
        <v>2498</v>
      </c>
      <c r="D19" s="36" t="s">
        <v>2499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279"/>
  <sheetViews>
    <sheetView topLeftCell="A260" workbookViewId="0">
      <selection activeCell="C279" sqref="C279"/>
    </sheetView>
  </sheetViews>
  <sheetFormatPr defaultRowHeight="18.75" x14ac:dyDescent="0.4"/>
  <cols>
    <col min="2" max="2" width="9" style="31"/>
    <col min="3" max="3" width="21.375" style="33" bestFit="1" customWidth="1"/>
    <col min="4" max="4" width="11" style="33" bestFit="1" customWidth="1"/>
  </cols>
  <sheetData>
    <row r="1" spans="2:3" x14ac:dyDescent="0.4">
      <c r="B1" s="31" t="s">
        <v>2232</v>
      </c>
      <c r="C1" s="33" t="s">
        <v>2233</v>
      </c>
    </row>
    <row r="2" spans="2:3" x14ac:dyDescent="0.4">
      <c r="B2" s="31" t="s">
        <v>2182</v>
      </c>
      <c r="C2" s="34" t="s">
        <v>2142</v>
      </c>
    </row>
    <row r="3" spans="2:3" x14ac:dyDescent="0.4">
      <c r="B3" s="31" t="s">
        <v>2183</v>
      </c>
      <c r="C3" s="34" t="s">
        <v>2142</v>
      </c>
    </row>
    <row r="4" spans="2:3" x14ac:dyDescent="0.4">
      <c r="B4" s="31" t="s">
        <v>2184</v>
      </c>
      <c r="C4" s="34" t="s">
        <v>2142</v>
      </c>
    </row>
    <row r="5" spans="2:3" x14ac:dyDescent="0.4">
      <c r="B5" s="31" t="s">
        <v>2185</v>
      </c>
      <c r="C5" s="34" t="s">
        <v>2142</v>
      </c>
    </row>
    <row r="6" spans="2:3" x14ac:dyDescent="0.4">
      <c r="B6" s="31" t="s">
        <v>2186</v>
      </c>
      <c r="C6" s="34" t="s">
        <v>2142</v>
      </c>
    </row>
    <row r="7" spans="2:3" x14ac:dyDescent="0.4">
      <c r="B7" s="31" t="s">
        <v>2187</v>
      </c>
      <c r="C7" s="34" t="s">
        <v>2142</v>
      </c>
    </row>
    <row r="8" spans="2:3" x14ac:dyDescent="0.4">
      <c r="B8" s="31" t="s">
        <v>2188</v>
      </c>
      <c r="C8" s="34" t="s">
        <v>2142</v>
      </c>
    </row>
    <row r="9" spans="2:3" x14ac:dyDescent="0.4">
      <c r="B9" s="31" t="s">
        <v>2191</v>
      </c>
      <c r="C9" s="34" t="s">
        <v>2142</v>
      </c>
    </row>
    <row r="10" spans="2:3" x14ac:dyDescent="0.4">
      <c r="B10" s="31" t="s">
        <v>2192</v>
      </c>
      <c r="C10" s="34" t="s">
        <v>2142</v>
      </c>
    </row>
    <row r="11" spans="2:3" x14ac:dyDescent="0.4">
      <c r="B11" s="31" t="s">
        <v>2189</v>
      </c>
      <c r="C11" s="34" t="s">
        <v>2142</v>
      </c>
    </row>
    <row r="12" spans="2:3" x14ac:dyDescent="0.4">
      <c r="B12" s="31" t="s">
        <v>2190</v>
      </c>
      <c r="C12" s="34" t="s">
        <v>2142</v>
      </c>
    </row>
    <row r="13" spans="2:3" x14ac:dyDescent="0.4">
      <c r="B13" s="31" t="s">
        <v>2193</v>
      </c>
      <c r="C13" s="34" t="s">
        <v>2142</v>
      </c>
    </row>
    <row r="14" spans="2:3" x14ac:dyDescent="0.4">
      <c r="B14" s="31" t="s">
        <v>2194</v>
      </c>
      <c r="C14" s="34" t="s">
        <v>2142</v>
      </c>
    </row>
    <row r="15" spans="2:3" x14ac:dyDescent="0.4">
      <c r="B15" s="31" t="s">
        <v>2195</v>
      </c>
      <c r="C15" s="34" t="s">
        <v>2142</v>
      </c>
    </row>
    <row r="16" spans="2:3" x14ac:dyDescent="0.4">
      <c r="B16" s="31" t="s">
        <v>2196</v>
      </c>
      <c r="C16" s="34" t="s">
        <v>2142</v>
      </c>
    </row>
    <row r="17" spans="2:3" x14ac:dyDescent="0.4">
      <c r="B17" s="31" t="s">
        <v>2197</v>
      </c>
      <c r="C17" s="34" t="s">
        <v>2142</v>
      </c>
    </row>
    <row r="18" spans="2:3" x14ac:dyDescent="0.4">
      <c r="B18" s="31" t="s">
        <v>2198</v>
      </c>
      <c r="C18" s="34" t="s">
        <v>2142</v>
      </c>
    </row>
    <row r="19" spans="2:3" x14ac:dyDescent="0.4">
      <c r="B19" s="31" t="s">
        <v>2199</v>
      </c>
      <c r="C19" s="34" t="s">
        <v>2142</v>
      </c>
    </row>
    <row r="20" spans="2:3" x14ac:dyDescent="0.4">
      <c r="B20" s="31" t="s">
        <v>2200</v>
      </c>
      <c r="C20" s="34" t="s">
        <v>2142</v>
      </c>
    </row>
    <row r="21" spans="2:3" x14ac:dyDescent="0.4">
      <c r="B21" s="31" t="s">
        <v>2201</v>
      </c>
      <c r="C21" s="34" t="s">
        <v>2142</v>
      </c>
    </row>
    <row r="22" spans="2:3" x14ac:dyDescent="0.4">
      <c r="B22" s="31" t="s">
        <v>2202</v>
      </c>
      <c r="C22" s="34" t="s">
        <v>2142</v>
      </c>
    </row>
    <row r="23" spans="2:3" x14ac:dyDescent="0.4">
      <c r="B23" s="31" t="s">
        <v>2203</v>
      </c>
      <c r="C23" s="34" t="s">
        <v>2142</v>
      </c>
    </row>
    <row r="24" spans="2:3" x14ac:dyDescent="0.4">
      <c r="B24" s="31" t="s">
        <v>2251</v>
      </c>
      <c r="C24" s="34" t="s">
        <v>2142</v>
      </c>
    </row>
    <row r="25" spans="2:3" x14ac:dyDescent="0.4">
      <c r="B25" s="31" t="s">
        <v>2252</v>
      </c>
      <c r="C25" s="34" t="s">
        <v>2142</v>
      </c>
    </row>
    <row r="26" spans="2:3" x14ac:dyDescent="0.4">
      <c r="B26" s="31" t="s">
        <v>2204</v>
      </c>
      <c r="C26" s="34" t="s">
        <v>2119</v>
      </c>
    </row>
    <row r="27" spans="2:3" x14ac:dyDescent="0.4">
      <c r="B27" s="31" t="s">
        <v>2205</v>
      </c>
      <c r="C27" s="34" t="s">
        <v>2119</v>
      </c>
    </row>
    <row r="28" spans="2:3" x14ac:dyDescent="0.4">
      <c r="B28" s="31" t="s">
        <v>2206</v>
      </c>
      <c r="C28" s="34" t="s">
        <v>2119</v>
      </c>
    </row>
    <row r="29" spans="2:3" x14ac:dyDescent="0.4">
      <c r="B29" s="31" t="s">
        <v>2207</v>
      </c>
      <c r="C29" s="34" t="s">
        <v>2119</v>
      </c>
    </row>
    <row r="30" spans="2:3" x14ac:dyDescent="0.4">
      <c r="B30" s="31" t="s">
        <v>2208</v>
      </c>
      <c r="C30" s="34" t="s">
        <v>2115</v>
      </c>
    </row>
    <row r="31" spans="2:3" x14ac:dyDescent="0.4">
      <c r="B31" s="31" t="s">
        <v>2209</v>
      </c>
      <c r="C31" s="34" t="s">
        <v>2115</v>
      </c>
    </row>
    <row r="32" spans="2:3" x14ac:dyDescent="0.4">
      <c r="B32" s="31" t="s">
        <v>2210</v>
      </c>
      <c r="C32" s="34" t="s">
        <v>2115</v>
      </c>
    </row>
    <row r="33" spans="2:3" x14ac:dyDescent="0.4">
      <c r="B33" s="31" t="s">
        <v>2211</v>
      </c>
      <c r="C33" s="34" t="s">
        <v>2115</v>
      </c>
    </row>
    <row r="34" spans="2:3" x14ac:dyDescent="0.4">
      <c r="B34" s="31" t="s">
        <v>2212</v>
      </c>
      <c r="C34" s="34" t="s">
        <v>2115</v>
      </c>
    </row>
    <row r="35" spans="2:3" x14ac:dyDescent="0.4">
      <c r="B35" s="31" t="s">
        <v>2213</v>
      </c>
      <c r="C35" s="34" t="s">
        <v>2115</v>
      </c>
    </row>
    <row r="36" spans="2:3" x14ac:dyDescent="0.4">
      <c r="B36" s="31" t="s">
        <v>2214</v>
      </c>
      <c r="C36" s="34" t="s">
        <v>2115</v>
      </c>
    </row>
    <row r="37" spans="2:3" x14ac:dyDescent="0.4">
      <c r="B37" s="31" t="s">
        <v>2215</v>
      </c>
      <c r="C37" s="34" t="s">
        <v>2115</v>
      </c>
    </row>
    <row r="38" spans="2:3" x14ac:dyDescent="0.4">
      <c r="B38" s="31" t="s">
        <v>2216</v>
      </c>
      <c r="C38" s="34" t="s">
        <v>2115</v>
      </c>
    </row>
    <row r="39" spans="2:3" x14ac:dyDescent="0.4">
      <c r="B39" s="31" t="s">
        <v>2217</v>
      </c>
      <c r="C39" s="34" t="s">
        <v>2115</v>
      </c>
    </row>
    <row r="40" spans="2:3" x14ac:dyDescent="0.4">
      <c r="B40" s="31" t="s">
        <v>2218</v>
      </c>
      <c r="C40" s="34" t="s">
        <v>2135</v>
      </c>
    </row>
    <row r="41" spans="2:3" x14ac:dyDescent="0.4">
      <c r="B41" s="31" t="s">
        <v>2219</v>
      </c>
      <c r="C41" s="34" t="s">
        <v>2135</v>
      </c>
    </row>
    <row r="42" spans="2:3" x14ac:dyDescent="0.4">
      <c r="B42" s="31" t="s">
        <v>2220</v>
      </c>
      <c r="C42" s="34" t="s">
        <v>2135</v>
      </c>
    </row>
    <row r="43" spans="2:3" x14ac:dyDescent="0.4">
      <c r="B43" s="31" t="s">
        <v>2221</v>
      </c>
      <c r="C43" s="34" t="s">
        <v>2135</v>
      </c>
    </row>
    <row r="44" spans="2:3" x14ac:dyDescent="0.4">
      <c r="B44" s="31" t="s">
        <v>2222</v>
      </c>
      <c r="C44" s="34" t="s">
        <v>2135</v>
      </c>
    </row>
    <row r="45" spans="2:3" x14ac:dyDescent="0.4">
      <c r="B45" s="31" t="s">
        <v>2234</v>
      </c>
      <c r="C45" s="34" t="s">
        <v>2135</v>
      </c>
    </row>
    <row r="46" spans="2:3" x14ac:dyDescent="0.4">
      <c r="B46" s="31" t="s">
        <v>2223</v>
      </c>
      <c r="C46" s="34" t="s">
        <v>2135</v>
      </c>
    </row>
    <row r="47" spans="2:3" x14ac:dyDescent="0.4">
      <c r="B47" s="31" t="s">
        <v>2224</v>
      </c>
      <c r="C47" s="34" t="s">
        <v>2132</v>
      </c>
    </row>
    <row r="48" spans="2:3" x14ac:dyDescent="0.4">
      <c r="B48" s="31" t="s">
        <v>2225</v>
      </c>
      <c r="C48" s="34" t="s">
        <v>2132</v>
      </c>
    </row>
    <row r="49" spans="2:3" x14ac:dyDescent="0.4">
      <c r="B49" s="31" t="s">
        <v>1161</v>
      </c>
      <c r="C49" s="34" t="s">
        <v>2132</v>
      </c>
    </row>
    <row r="50" spans="2:3" x14ac:dyDescent="0.4">
      <c r="B50" s="31" t="s">
        <v>2226</v>
      </c>
      <c r="C50" s="34" t="s">
        <v>2132</v>
      </c>
    </row>
    <row r="51" spans="2:3" x14ac:dyDescent="0.4">
      <c r="B51" s="31" t="s">
        <v>2227</v>
      </c>
      <c r="C51" s="34" t="s">
        <v>2132</v>
      </c>
    </row>
    <row r="52" spans="2:3" x14ac:dyDescent="0.4">
      <c r="B52" s="31" t="s">
        <v>2228</v>
      </c>
      <c r="C52" s="34" t="s">
        <v>2132</v>
      </c>
    </row>
    <row r="53" spans="2:3" x14ac:dyDescent="0.4">
      <c r="B53" s="31" t="s">
        <v>2229</v>
      </c>
      <c r="C53" s="34" t="s">
        <v>2132</v>
      </c>
    </row>
    <row r="54" spans="2:3" x14ac:dyDescent="0.4">
      <c r="B54" s="31" t="s">
        <v>2230</v>
      </c>
      <c r="C54" s="34" t="s">
        <v>2132</v>
      </c>
    </row>
    <row r="55" spans="2:3" x14ac:dyDescent="0.4">
      <c r="B55" s="31" t="s">
        <v>2231</v>
      </c>
      <c r="C55" s="34" t="s">
        <v>2134</v>
      </c>
    </row>
    <row r="56" spans="2:3" x14ac:dyDescent="0.4">
      <c r="B56" s="31" t="s">
        <v>2235</v>
      </c>
      <c r="C56" s="34" t="s">
        <v>2134</v>
      </c>
    </row>
    <row r="57" spans="2:3" x14ac:dyDescent="0.4">
      <c r="B57" s="31" t="s">
        <v>2236</v>
      </c>
      <c r="C57" s="34" t="s">
        <v>2134</v>
      </c>
    </row>
    <row r="58" spans="2:3" x14ac:dyDescent="0.4">
      <c r="B58" s="31" t="s">
        <v>2237</v>
      </c>
      <c r="C58" s="34" t="s">
        <v>2134</v>
      </c>
    </row>
    <row r="59" spans="2:3" x14ac:dyDescent="0.4">
      <c r="B59" s="31" t="s">
        <v>2238</v>
      </c>
      <c r="C59" s="34" t="s">
        <v>2134</v>
      </c>
    </row>
    <row r="60" spans="2:3" x14ac:dyDescent="0.4">
      <c r="B60" s="31" t="s">
        <v>2239</v>
      </c>
      <c r="C60" s="34" t="s">
        <v>2134</v>
      </c>
    </row>
    <row r="61" spans="2:3" x14ac:dyDescent="0.4">
      <c r="B61" s="31" t="s">
        <v>2240</v>
      </c>
      <c r="C61" s="34" t="s">
        <v>2134</v>
      </c>
    </row>
    <row r="62" spans="2:3" x14ac:dyDescent="0.4">
      <c r="B62" s="31" t="s">
        <v>2241</v>
      </c>
      <c r="C62" s="34" t="s">
        <v>2134</v>
      </c>
    </row>
    <row r="63" spans="2:3" x14ac:dyDescent="0.4">
      <c r="B63" s="31" t="s">
        <v>2242</v>
      </c>
      <c r="C63" s="34" t="s">
        <v>2134</v>
      </c>
    </row>
    <row r="64" spans="2:3" x14ac:dyDescent="0.4">
      <c r="B64" s="31" t="s">
        <v>2243</v>
      </c>
      <c r="C64" s="34" t="s">
        <v>2134</v>
      </c>
    </row>
    <row r="65" spans="2:4" x14ac:dyDescent="0.4">
      <c r="B65" s="31" t="s">
        <v>2244</v>
      </c>
      <c r="C65" s="34" t="s">
        <v>2134</v>
      </c>
    </row>
    <row r="66" spans="2:4" x14ac:dyDescent="0.4">
      <c r="B66" s="31" t="s">
        <v>2245</v>
      </c>
      <c r="C66" s="34" t="s">
        <v>2134</v>
      </c>
    </row>
    <row r="67" spans="2:4" x14ac:dyDescent="0.4">
      <c r="B67" s="31" t="s">
        <v>2246</v>
      </c>
      <c r="C67" s="34" t="s">
        <v>2134</v>
      </c>
    </row>
    <row r="68" spans="2:4" x14ac:dyDescent="0.4">
      <c r="B68" s="31" t="s">
        <v>2247</v>
      </c>
      <c r="C68" s="34" t="s">
        <v>2134</v>
      </c>
    </row>
    <row r="69" spans="2:4" x14ac:dyDescent="0.4">
      <c r="B69" s="31" t="s">
        <v>2248</v>
      </c>
      <c r="C69" s="34" t="s">
        <v>2134</v>
      </c>
    </row>
    <row r="70" spans="2:4" x14ac:dyDescent="0.4">
      <c r="B70" s="31" t="s">
        <v>2249</v>
      </c>
      <c r="C70" s="34" t="s">
        <v>2134</v>
      </c>
    </row>
    <row r="71" spans="2:4" x14ac:dyDescent="0.4">
      <c r="B71" s="31" t="s">
        <v>2250</v>
      </c>
      <c r="C71" s="34" t="s">
        <v>2134</v>
      </c>
    </row>
    <row r="72" spans="2:4" x14ac:dyDescent="0.4">
      <c r="B72" s="31" t="s">
        <v>2253</v>
      </c>
      <c r="C72" s="34" t="s">
        <v>2111</v>
      </c>
    </row>
    <row r="73" spans="2:4" x14ac:dyDescent="0.4">
      <c r="B73" s="31" t="s">
        <v>2254</v>
      </c>
      <c r="C73" s="34" t="s">
        <v>2111</v>
      </c>
    </row>
    <row r="74" spans="2:4" x14ac:dyDescent="0.4">
      <c r="B74" s="31" t="s">
        <v>2255</v>
      </c>
      <c r="C74" s="34" t="s">
        <v>2111</v>
      </c>
    </row>
    <row r="75" spans="2:4" x14ac:dyDescent="0.4">
      <c r="B75" s="31" t="s">
        <v>2256</v>
      </c>
      <c r="C75" s="34" t="s">
        <v>2111</v>
      </c>
    </row>
    <row r="76" spans="2:4" x14ac:dyDescent="0.4">
      <c r="B76" s="31" t="s">
        <v>2257</v>
      </c>
      <c r="C76" s="34" t="s">
        <v>2111</v>
      </c>
      <c r="D76" s="34" t="s">
        <v>2124</v>
      </c>
    </row>
    <row r="77" spans="2:4" x14ac:dyDescent="0.4">
      <c r="B77" s="31" t="s">
        <v>2258</v>
      </c>
      <c r="C77" s="34" t="s">
        <v>2111</v>
      </c>
    </row>
    <row r="78" spans="2:4" x14ac:dyDescent="0.4">
      <c r="B78" s="31" t="s">
        <v>2259</v>
      </c>
      <c r="C78" s="34" t="s">
        <v>2111</v>
      </c>
    </row>
    <row r="79" spans="2:4" x14ac:dyDescent="0.4">
      <c r="B79" s="31" t="s">
        <v>2260</v>
      </c>
      <c r="C79" s="34" t="s">
        <v>2111</v>
      </c>
    </row>
    <row r="80" spans="2:4" x14ac:dyDescent="0.4">
      <c r="B80" s="31" t="s">
        <v>2261</v>
      </c>
      <c r="C80" s="34" t="s">
        <v>2111</v>
      </c>
    </row>
    <row r="81" spans="2:3" x14ac:dyDescent="0.4">
      <c r="B81" s="31" t="s">
        <v>2262</v>
      </c>
      <c r="C81" s="34" t="s">
        <v>2111</v>
      </c>
    </row>
    <row r="82" spans="2:3" x14ac:dyDescent="0.4">
      <c r="B82" s="31" t="s">
        <v>2263</v>
      </c>
      <c r="C82" s="34" t="s">
        <v>2111</v>
      </c>
    </row>
    <row r="83" spans="2:3" x14ac:dyDescent="0.4">
      <c r="B83" s="31" t="s">
        <v>2264</v>
      </c>
      <c r="C83" s="34" t="s">
        <v>2111</v>
      </c>
    </row>
    <row r="84" spans="2:3" x14ac:dyDescent="0.4">
      <c r="B84" s="31" t="s">
        <v>2265</v>
      </c>
      <c r="C84" s="34" t="s">
        <v>2111</v>
      </c>
    </row>
    <row r="85" spans="2:3" x14ac:dyDescent="0.4">
      <c r="B85" s="31" t="s">
        <v>2266</v>
      </c>
      <c r="C85" s="34" t="s">
        <v>2111</v>
      </c>
    </row>
    <row r="86" spans="2:3" x14ac:dyDescent="0.4">
      <c r="B86" s="31" t="s">
        <v>2267</v>
      </c>
      <c r="C86" s="34" t="s">
        <v>2111</v>
      </c>
    </row>
    <row r="87" spans="2:3" x14ac:dyDescent="0.4">
      <c r="B87" s="31" t="s">
        <v>2268</v>
      </c>
      <c r="C87" s="34" t="s">
        <v>2111</v>
      </c>
    </row>
    <row r="88" spans="2:3" x14ac:dyDescent="0.4">
      <c r="B88" s="31" t="s">
        <v>2269</v>
      </c>
      <c r="C88" s="34" t="s">
        <v>2111</v>
      </c>
    </row>
    <row r="89" spans="2:3" x14ac:dyDescent="0.4">
      <c r="B89" s="31" t="s">
        <v>2270</v>
      </c>
      <c r="C89" s="34" t="s">
        <v>2111</v>
      </c>
    </row>
    <row r="90" spans="2:3" x14ac:dyDescent="0.4">
      <c r="B90" s="31" t="s">
        <v>2271</v>
      </c>
      <c r="C90" s="34" t="s">
        <v>2111</v>
      </c>
    </row>
    <row r="91" spans="2:3" x14ac:dyDescent="0.4">
      <c r="B91" s="31" t="s">
        <v>2272</v>
      </c>
      <c r="C91" s="34" t="s">
        <v>2111</v>
      </c>
    </row>
    <row r="92" spans="2:3" x14ac:dyDescent="0.4">
      <c r="B92" s="31" t="s">
        <v>2273</v>
      </c>
      <c r="C92" s="34" t="s">
        <v>2111</v>
      </c>
    </row>
    <row r="93" spans="2:3" x14ac:dyDescent="0.4">
      <c r="B93" s="31" t="s">
        <v>2302</v>
      </c>
      <c r="C93" s="34" t="s">
        <v>2303</v>
      </c>
    </row>
    <row r="94" spans="2:3" x14ac:dyDescent="0.4">
      <c r="B94" s="31" t="s">
        <v>2304</v>
      </c>
      <c r="C94" s="34" t="s">
        <v>2120</v>
      </c>
    </row>
    <row r="95" spans="2:3" x14ac:dyDescent="0.4">
      <c r="B95" s="31" t="s">
        <v>2305</v>
      </c>
      <c r="C95" s="34" t="s">
        <v>2118</v>
      </c>
    </row>
    <row r="96" spans="2:3" x14ac:dyDescent="0.4">
      <c r="B96" s="31" t="s">
        <v>2306</v>
      </c>
      <c r="C96" s="34" t="s">
        <v>2308</v>
      </c>
    </row>
    <row r="97" spans="2:3" x14ac:dyDescent="0.4">
      <c r="B97" s="31" t="s">
        <v>2307</v>
      </c>
      <c r="C97" s="34" t="s">
        <v>2308</v>
      </c>
    </row>
    <row r="98" spans="2:3" x14ac:dyDescent="0.4">
      <c r="B98" s="31" t="s">
        <v>2319</v>
      </c>
      <c r="C98" s="34" t="s">
        <v>2308</v>
      </c>
    </row>
    <row r="99" spans="2:3" x14ac:dyDescent="0.4">
      <c r="B99" s="31" t="s">
        <v>2309</v>
      </c>
      <c r="C99" s="34" t="s">
        <v>2318</v>
      </c>
    </row>
    <row r="100" spans="2:3" x14ac:dyDescent="0.4">
      <c r="B100" s="31" t="s">
        <v>2310</v>
      </c>
      <c r="C100" s="34" t="s">
        <v>2318</v>
      </c>
    </row>
    <row r="101" spans="2:3" x14ac:dyDescent="0.4">
      <c r="B101" s="31" t="s">
        <v>2311</v>
      </c>
      <c r="C101" s="34" t="s">
        <v>2318</v>
      </c>
    </row>
    <row r="102" spans="2:3" x14ac:dyDescent="0.4">
      <c r="B102" s="31" t="s">
        <v>2312</v>
      </c>
      <c r="C102" s="34" t="s">
        <v>2318</v>
      </c>
    </row>
    <row r="103" spans="2:3" x14ac:dyDescent="0.4">
      <c r="B103" s="31" t="s">
        <v>950</v>
      </c>
      <c r="C103" s="34" t="s">
        <v>2318</v>
      </c>
    </row>
    <row r="104" spans="2:3" x14ac:dyDescent="0.4">
      <c r="B104" s="31" t="s">
        <v>2313</v>
      </c>
      <c r="C104" s="34" t="s">
        <v>2318</v>
      </c>
    </row>
    <row r="105" spans="2:3" x14ac:dyDescent="0.4">
      <c r="B105" s="31" t="s">
        <v>2314</v>
      </c>
      <c r="C105" s="34" t="s">
        <v>2318</v>
      </c>
    </row>
    <row r="106" spans="2:3" x14ac:dyDescent="0.4">
      <c r="B106" s="31" t="s">
        <v>2315</v>
      </c>
      <c r="C106" s="34" t="s">
        <v>2318</v>
      </c>
    </row>
    <row r="107" spans="2:3" x14ac:dyDescent="0.4">
      <c r="B107" s="31" t="s">
        <v>2316</v>
      </c>
      <c r="C107" s="34" t="s">
        <v>2318</v>
      </c>
    </row>
    <row r="108" spans="2:3" x14ac:dyDescent="0.4">
      <c r="B108" s="31" t="s">
        <v>2317</v>
      </c>
      <c r="C108" s="34" t="s">
        <v>2318</v>
      </c>
    </row>
    <row r="109" spans="2:3" x14ac:dyDescent="0.4">
      <c r="B109" s="31" t="s">
        <v>2324</v>
      </c>
      <c r="C109" s="34" t="s">
        <v>2318</v>
      </c>
    </row>
    <row r="110" spans="2:3" x14ac:dyDescent="0.4">
      <c r="B110" s="31" t="s">
        <v>2320</v>
      </c>
      <c r="C110" s="34" t="s">
        <v>2141</v>
      </c>
    </row>
    <row r="111" spans="2:3" x14ac:dyDescent="0.4">
      <c r="B111" s="31" t="s">
        <v>2321</v>
      </c>
      <c r="C111" s="34" t="s">
        <v>2141</v>
      </c>
    </row>
    <row r="112" spans="2:3" x14ac:dyDescent="0.4">
      <c r="B112" s="31" t="s">
        <v>2322</v>
      </c>
      <c r="C112" s="34" t="s">
        <v>2141</v>
      </c>
    </row>
    <row r="113" spans="2:3" x14ac:dyDescent="0.4">
      <c r="B113" s="31" t="s">
        <v>2323</v>
      </c>
      <c r="C113" s="34" t="s">
        <v>2141</v>
      </c>
    </row>
    <row r="114" spans="2:3" x14ac:dyDescent="0.4">
      <c r="B114" s="31" t="s">
        <v>2325</v>
      </c>
      <c r="C114" s="34" t="s">
        <v>2121</v>
      </c>
    </row>
    <row r="115" spans="2:3" x14ac:dyDescent="0.4">
      <c r="B115" s="31" t="s">
        <v>2326</v>
      </c>
      <c r="C115" s="34" t="s">
        <v>2121</v>
      </c>
    </row>
    <row r="116" spans="2:3" x14ac:dyDescent="0.4">
      <c r="B116" s="31" t="s">
        <v>2327</v>
      </c>
      <c r="C116" s="34" t="s">
        <v>2121</v>
      </c>
    </row>
    <row r="117" spans="2:3" x14ac:dyDescent="0.4">
      <c r="B117" s="31" t="s">
        <v>2328</v>
      </c>
      <c r="C117" s="34" t="s">
        <v>2121</v>
      </c>
    </row>
    <row r="118" spans="2:3" x14ac:dyDescent="0.4">
      <c r="B118" s="31" t="s">
        <v>2329</v>
      </c>
      <c r="C118" s="34" t="s">
        <v>2121</v>
      </c>
    </row>
    <row r="119" spans="2:3" x14ac:dyDescent="0.4">
      <c r="B119" s="31" t="s">
        <v>2330</v>
      </c>
      <c r="C119" s="34" t="s">
        <v>2121</v>
      </c>
    </row>
    <row r="120" spans="2:3" x14ac:dyDescent="0.4">
      <c r="B120" s="31" t="s">
        <v>2331</v>
      </c>
      <c r="C120" s="34" t="s">
        <v>2126</v>
      </c>
    </row>
    <row r="121" spans="2:3" x14ac:dyDescent="0.4">
      <c r="B121" s="31" t="s">
        <v>2332</v>
      </c>
      <c r="C121" s="34" t="s">
        <v>2126</v>
      </c>
    </row>
    <row r="122" spans="2:3" x14ac:dyDescent="0.4">
      <c r="B122" s="31" t="s">
        <v>2333</v>
      </c>
      <c r="C122" s="34" t="s">
        <v>2126</v>
      </c>
    </row>
    <row r="123" spans="2:3" x14ac:dyDescent="0.4">
      <c r="B123" s="31" t="s">
        <v>2334</v>
      </c>
      <c r="C123" s="34" t="s">
        <v>2335</v>
      </c>
    </row>
    <row r="124" spans="2:3" x14ac:dyDescent="0.4">
      <c r="B124" s="31" t="s">
        <v>2336</v>
      </c>
      <c r="C124" s="34" t="s">
        <v>2335</v>
      </c>
    </row>
    <row r="125" spans="2:3" x14ac:dyDescent="0.4">
      <c r="B125" s="31" t="s">
        <v>2337</v>
      </c>
      <c r="C125" s="34" t="s">
        <v>2335</v>
      </c>
    </row>
    <row r="126" spans="2:3" x14ac:dyDescent="0.4">
      <c r="B126" s="31" t="s">
        <v>2338</v>
      </c>
      <c r="C126" s="34" t="s">
        <v>2346</v>
      </c>
    </row>
    <row r="127" spans="2:3" x14ac:dyDescent="0.4">
      <c r="B127" s="31" t="s">
        <v>2339</v>
      </c>
      <c r="C127" s="34" t="s">
        <v>2346</v>
      </c>
    </row>
    <row r="128" spans="2:3" x14ac:dyDescent="0.4">
      <c r="B128" s="31" t="s">
        <v>2340</v>
      </c>
      <c r="C128" s="34" t="s">
        <v>2346</v>
      </c>
    </row>
    <row r="129" spans="2:4" x14ac:dyDescent="0.4">
      <c r="B129" s="31" t="s">
        <v>2341</v>
      </c>
      <c r="C129" s="34" t="s">
        <v>2346</v>
      </c>
    </row>
    <row r="130" spans="2:4" x14ac:dyDescent="0.4">
      <c r="B130" s="31" t="s">
        <v>2342</v>
      </c>
      <c r="C130" s="34" t="s">
        <v>2346</v>
      </c>
    </row>
    <row r="131" spans="2:4" x14ac:dyDescent="0.4">
      <c r="B131" s="31" t="s">
        <v>2343</v>
      </c>
      <c r="C131" s="34" t="s">
        <v>2346</v>
      </c>
    </row>
    <row r="132" spans="2:4" x14ac:dyDescent="0.4">
      <c r="B132" s="31" t="s">
        <v>2344</v>
      </c>
      <c r="C132" s="34" t="s">
        <v>2346</v>
      </c>
    </row>
    <row r="133" spans="2:4" x14ac:dyDescent="0.4">
      <c r="B133" s="31" t="s">
        <v>2345</v>
      </c>
      <c r="C133" s="34" t="s">
        <v>2346</v>
      </c>
      <c r="D133" s="34" t="s">
        <v>2407</v>
      </c>
    </row>
    <row r="134" spans="2:4" x14ac:dyDescent="0.4">
      <c r="B134" s="31" t="s">
        <v>2347</v>
      </c>
      <c r="C134" s="34" t="s">
        <v>2353</v>
      </c>
    </row>
    <row r="135" spans="2:4" x14ac:dyDescent="0.4">
      <c r="B135" s="31" t="s">
        <v>2348</v>
      </c>
      <c r="C135" s="34" t="s">
        <v>2353</v>
      </c>
    </row>
    <row r="136" spans="2:4" x14ac:dyDescent="0.4">
      <c r="B136" s="31" t="s">
        <v>2349</v>
      </c>
      <c r="C136" s="34" t="s">
        <v>2353</v>
      </c>
    </row>
    <row r="137" spans="2:4" x14ac:dyDescent="0.4">
      <c r="B137" s="31" t="s">
        <v>2350</v>
      </c>
      <c r="C137" s="34" t="s">
        <v>2353</v>
      </c>
    </row>
    <row r="138" spans="2:4" x14ac:dyDescent="0.4">
      <c r="B138" s="31" t="s">
        <v>2351</v>
      </c>
      <c r="C138" s="34" t="s">
        <v>2353</v>
      </c>
    </row>
    <row r="139" spans="2:4" x14ac:dyDescent="0.4">
      <c r="B139" s="31" t="s">
        <v>2352</v>
      </c>
      <c r="C139" s="34" t="s">
        <v>2353</v>
      </c>
    </row>
    <row r="140" spans="2:4" x14ac:dyDescent="0.4">
      <c r="B140" s="31" t="s">
        <v>2354</v>
      </c>
      <c r="C140" s="34" t="s">
        <v>2359</v>
      </c>
    </row>
    <row r="141" spans="2:4" x14ac:dyDescent="0.4">
      <c r="B141" s="31" t="s">
        <v>2355</v>
      </c>
      <c r="C141" s="34" t="s">
        <v>2359</v>
      </c>
    </row>
    <row r="142" spans="2:4" x14ac:dyDescent="0.4">
      <c r="B142" s="31" t="s">
        <v>2356</v>
      </c>
      <c r="C142" s="34" t="s">
        <v>2359</v>
      </c>
    </row>
    <row r="143" spans="2:4" x14ac:dyDescent="0.4">
      <c r="B143" s="31" t="s">
        <v>2357</v>
      </c>
      <c r="C143" s="34" t="s">
        <v>2359</v>
      </c>
    </row>
    <row r="144" spans="2:4" x14ac:dyDescent="0.4">
      <c r="B144" s="31" t="s">
        <v>2358</v>
      </c>
      <c r="C144" s="34" t="s">
        <v>2359</v>
      </c>
    </row>
    <row r="145" spans="2:4" x14ac:dyDescent="0.4">
      <c r="B145" s="31" t="s">
        <v>2360</v>
      </c>
      <c r="C145" s="34" t="s">
        <v>2363</v>
      </c>
    </row>
    <row r="146" spans="2:4" x14ac:dyDescent="0.4">
      <c r="B146" s="31" t="s">
        <v>2361</v>
      </c>
      <c r="C146" s="34" t="s">
        <v>2363</v>
      </c>
    </row>
    <row r="147" spans="2:4" x14ac:dyDescent="0.4">
      <c r="B147" s="31" t="s">
        <v>2362</v>
      </c>
      <c r="C147" s="34" t="s">
        <v>2363</v>
      </c>
    </row>
    <row r="148" spans="2:4" x14ac:dyDescent="0.4">
      <c r="B148" s="31" t="s">
        <v>2364</v>
      </c>
      <c r="C148" s="34" t="s">
        <v>2373</v>
      </c>
    </row>
    <row r="149" spans="2:4" x14ac:dyDescent="0.4">
      <c r="B149" s="31" t="s">
        <v>2365</v>
      </c>
      <c r="C149" s="34" t="s">
        <v>2373</v>
      </c>
    </row>
    <row r="150" spans="2:4" x14ac:dyDescent="0.4">
      <c r="B150" s="31" t="s">
        <v>2366</v>
      </c>
      <c r="C150" s="34" t="s">
        <v>2373</v>
      </c>
    </row>
    <row r="151" spans="2:4" x14ac:dyDescent="0.4">
      <c r="B151" s="31" t="s">
        <v>2367</v>
      </c>
      <c r="C151" s="34" t="s">
        <v>2373</v>
      </c>
    </row>
    <row r="152" spans="2:4" x14ac:dyDescent="0.4">
      <c r="B152" s="31" t="s">
        <v>2368</v>
      </c>
      <c r="C152" s="34" t="s">
        <v>2373</v>
      </c>
    </row>
    <row r="153" spans="2:4" x14ac:dyDescent="0.4">
      <c r="B153" s="31" t="s">
        <v>2369</v>
      </c>
      <c r="C153" s="34" t="s">
        <v>2373</v>
      </c>
    </row>
    <row r="154" spans="2:4" x14ac:dyDescent="0.4">
      <c r="B154" s="31" t="s">
        <v>2370</v>
      </c>
      <c r="C154" s="34" t="s">
        <v>2373</v>
      </c>
    </row>
    <row r="155" spans="2:4" x14ac:dyDescent="0.4">
      <c r="B155" s="31" t="s">
        <v>2371</v>
      </c>
      <c r="C155" s="34" t="s">
        <v>2373</v>
      </c>
    </row>
    <row r="156" spans="2:4" x14ac:dyDescent="0.4">
      <c r="B156" s="31" t="s">
        <v>2372</v>
      </c>
      <c r="C156" s="34" t="s">
        <v>2373</v>
      </c>
    </row>
    <row r="157" spans="2:4" x14ac:dyDescent="0.4">
      <c r="B157" s="31" t="s">
        <v>2374</v>
      </c>
      <c r="C157" s="34" t="s">
        <v>2378</v>
      </c>
    </row>
    <row r="158" spans="2:4" x14ac:dyDescent="0.4">
      <c r="B158" s="31" t="s">
        <v>2375</v>
      </c>
      <c r="C158" s="34" t="s">
        <v>2378</v>
      </c>
    </row>
    <row r="159" spans="2:4" x14ac:dyDescent="0.4">
      <c r="B159" s="31" t="s">
        <v>2376</v>
      </c>
      <c r="C159" s="34" t="s">
        <v>2378</v>
      </c>
      <c r="D159" s="34" t="s">
        <v>2423</v>
      </c>
    </row>
    <row r="160" spans="2:4" x14ac:dyDescent="0.4">
      <c r="B160" s="31" t="s">
        <v>2377</v>
      </c>
      <c r="C160" s="34" t="s">
        <v>2378</v>
      </c>
    </row>
    <row r="161" spans="2:3" x14ac:dyDescent="0.4">
      <c r="B161" s="31" t="s">
        <v>2384</v>
      </c>
      <c r="C161" s="34" t="s">
        <v>2392</v>
      </c>
    </row>
    <row r="162" spans="2:3" x14ac:dyDescent="0.4">
      <c r="B162" s="31" t="s">
        <v>2385</v>
      </c>
      <c r="C162" s="34" t="s">
        <v>2392</v>
      </c>
    </row>
    <row r="163" spans="2:3" x14ac:dyDescent="0.4">
      <c r="B163" s="31" t="s">
        <v>2386</v>
      </c>
      <c r="C163" s="34" t="s">
        <v>2392</v>
      </c>
    </row>
    <row r="164" spans="2:3" x14ac:dyDescent="0.4">
      <c r="B164" s="31" t="s">
        <v>2387</v>
      </c>
      <c r="C164" s="34" t="s">
        <v>2392</v>
      </c>
    </row>
    <row r="165" spans="2:3" x14ac:dyDescent="0.4">
      <c r="B165" s="31" t="s">
        <v>2388</v>
      </c>
      <c r="C165" s="34" t="s">
        <v>2392</v>
      </c>
    </row>
    <row r="166" spans="2:3" x14ac:dyDescent="0.4">
      <c r="B166" s="31" t="s">
        <v>2389</v>
      </c>
      <c r="C166" s="34" t="s">
        <v>2392</v>
      </c>
    </row>
    <row r="167" spans="2:3" x14ac:dyDescent="0.4">
      <c r="B167" s="31" t="s">
        <v>2390</v>
      </c>
      <c r="C167" s="34" t="s">
        <v>2392</v>
      </c>
    </row>
    <row r="168" spans="2:3" x14ac:dyDescent="0.4">
      <c r="B168" s="31" t="s">
        <v>2391</v>
      </c>
      <c r="C168" s="34" t="s">
        <v>2392</v>
      </c>
    </row>
    <row r="169" spans="2:3" x14ac:dyDescent="0.4">
      <c r="B169" s="31" t="s">
        <v>2395</v>
      </c>
      <c r="C169" s="34" t="s">
        <v>2397</v>
      </c>
    </row>
    <row r="170" spans="2:3" x14ac:dyDescent="0.4">
      <c r="B170" s="31" t="s">
        <v>2396</v>
      </c>
      <c r="C170" s="34" t="s">
        <v>2397</v>
      </c>
    </row>
    <row r="171" spans="2:3" x14ac:dyDescent="0.4">
      <c r="B171" s="31" t="s">
        <v>2393</v>
      </c>
      <c r="C171" s="34" t="s">
        <v>2397</v>
      </c>
    </row>
    <row r="172" spans="2:3" x14ac:dyDescent="0.4">
      <c r="B172" s="31" t="s">
        <v>2394</v>
      </c>
      <c r="C172" s="34" t="s">
        <v>2397</v>
      </c>
    </row>
    <row r="173" spans="2:3" x14ac:dyDescent="0.4">
      <c r="B173" s="31" t="s">
        <v>2398</v>
      </c>
      <c r="C173" s="34" t="s">
        <v>2403</v>
      </c>
    </row>
    <row r="174" spans="2:3" x14ac:dyDescent="0.4">
      <c r="B174" s="31" t="s">
        <v>2399</v>
      </c>
      <c r="C174" s="34" t="s">
        <v>2403</v>
      </c>
    </row>
    <row r="175" spans="2:3" x14ac:dyDescent="0.4">
      <c r="B175" s="31" t="s">
        <v>2400</v>
      </c>
      <c r="C175" s="34" t="s">
        <v>2403</v>
      </c>
    </row>
    <row r="176" spans="2:3" x14ac:dyDescent="0.4">
      <c r="B176" s="31" t="s">
        <v>2401</v>
      </c>
      <c r="C176" s="34" t="s">
        <v>2403</v>
      </c>
    </row>
    <row r="177" spans="2:3" x14ac:dyDescent="0.4">
      <c r="B177" s="31" t="s">
        <v>2402</v>
      </c>
      <c r="C177" s="34" t="s">
        <v>2403</v>
      </c>
    </row>
    <row r="178" spans="2:3" x14ac:dyDescent="0.4">
      <c r="B178" s="31" t="s">
        <v>2404</v>
      </c>
      <c r="C178" s="34" t="s">
        <v>2405</v>
      </c>
    </row>
    <row r="179" spans="2:3" x14ac:dyDescent="0.4">
      <c r="B179" s="31" t="s">
        <v>2530</v>
      </c>
      <c r="C179" s="34" t="s">
        <v>2532</v>
      </c>
    </row>
    <row r="180" spans="2:3" x14ac:dyDescent="0.4">
      <c r="B180" s="31" t="s">
        <v>2531</v>
      </c>
      <c r="C180" s="34" t="s">
        <v>2532</v>
      </c>
    </row>
    <row r="181" spans="2:3" x14ac:dyDescent="0.4">
      <c r="B181" s="31" t="s">
        <v>2406</v>
      </c>
      <c r="C181" s="34" t="s">
        <v>2407</v>
      </c>
    </row>
    <row r="182" spans="2:3" x14ac:dyDescent="0.4">
      <c r="B182" s="31" t="s">
        <v>2408</v>
      </c>
      <c r="C182" s="34" t="s">
        <v>2407</v>
      </c>
    </row>
    <row r="183" spans="2:3" x14ac:dyDescent="0.4">
      <c r="B183" s="31" t="s">
        <v>2409</v>
      </c>
      <c r="C183" s="34" t="s">
        <v>2407</v>
      </c>
    </row>
    <row r="184" spans="2:3" x14ac:dyDescent="0.4">
      <c r="B184" s="31" t="s">
        <v>2410</v>
      </c>
      <c r="C184" s="34" t="s">
        <v>2407</v>
      </c>
    </row>
    <row r="185" spans="2:3" x14ac:dyDescent="0.4">
      <c r="B185" s="31" t="s">
        <v>2411</v>
      </c>
      <c r="C185" s="34" t="s">
        <v>2414</v>
      </c>
    </row>
    <row r="186" spans="2:3" x14ac:dyDescent="0.4">
      <c r="B186" s="31" t="s">
        <v>2412</v>
      </c>
      <c r="C186" s="34" t="s">
        <v>2414</v>
      </c>
    </row>
    <row r="187" spans="2:3" x14ac:dyDescent="0.4">
      <c r="B187" s="31" t="s">
        <v>2413</v>
      </c>
      <c r="C187" s="34" t="s">
        <v>2414</v>
      </c>
    </row>
    <row r="188" spans="2:3" x14ac:dyDescent="0.4">
      <c r="B188" s="31" t="s">
        <v>2415</v>
      </c>
      <c r="C188" s="34" t="s">
        <v>2419</v>
      </c>
    </row>
    <row r="189" spans="2:3" x14ac:dyDescent="0.4">
      <c r="B189" s="31" t="s">
        <v>2416</v>
      </c>
      <c r="C189" s="34" t="s">
        <v>2419</v>
      </c>
    </row>
    <row r="190" spans="2:3" x14ac:dyDescent="0.4">
      <c r="B190" s="31" t="s">
        <v>2417</v>
      </c>
      <c r="C190" s="34" t="s">
        <v>2419</v>
      </c>
    </row>
    <row r="191" spans="2:3" x14ac:dyDescent="0.4">
      <c r="B191" s="31" t="s">
        <v>2418</v>
      </c>
      <c r="C191" s="34" t="s">
        <v>2419</v>
      </c>
    </row>
    <row r="192" spans="2:3" x14ac:dyDescent="0.4">
      <c r="B192" s="31" t="s">
        <v>2420</v>
      </c>
      <c r="C192" s="34" t="s">
        <v>2423</v>
      </c>
    </row>
    <row r="193" spans="2:3" x14ac:dyDescent="0.4">
      <c r="B193" s="31" t="s">
        <v>2421</v>
      </c>
      <c r="C193" s="34" t="s">
        <v>2423</v>
      </c>
    </row>
    <row r="194" spans="2:3" x14ac:dyDescent="0.4">
      <c r="B194" s="31" t="s">
        <v>2422</v>
      </c>
      <c r="C194" s="34" t="s">
        <v>2423</v>
      </c>
    </row>
    <row r="195" spans="2:3" x14ac:dyDescent="0.4">
      <c r="B195" s="31" t="s">
        <v>2226</v>
      </c>
      <c r="C195" s="34" t="s">
        <v>2423</v>
      </c>
    </row>
    <row r="196" spans="2:3" x14ac:dyDescent="0.4">
      <c r="B196" s="31" t="s">
        <v>2424</v>
      </c>
      <c r="C196" s="34" t="s">
        <v>2428</v>
      </c>
    </row>
    <row r="197" spans="2:3" x14ac:dyDescent="0.4">
      <c r="B197" s="31" t="s">
        <v>2425</v>
      </c>
      <c r="C197" s="34" t="s">
        <v>2428</v>
      </c>
    </row>
    <row r="198" spans="2:3" x14ac:dyDescent="0.4">
      <c r="B198" s="31" t="s">
        <v>2426</v>
      </c>
      <c r="C198" s="34" t="s">
        <v>2428</v>
      </c>
    </row>
    <row r="199" spans="2:3" x14ac:dyDescent="0.4">
      <c r="B199" s="31" t="s">
        <v>2427</v>
      </c>
      <c r="C199" s="34" t="s">
        <v>2428</v>
      </c>
    </row>
    <row r="200" spans="2:3" x14ac:dyDescent="0.4">
      <c r="B200" s="31" t="s">
        <v>2429</v>
      </c>
      <c r="C200" s="34" t="s">
        <v>2434</v>
      </c>
    </row>
    <row r="201" spans="2:3" x14ac:dyDescent="0.4">
      <c r="B201" s="31" t="s">
        <v>2430</v>
      </c>
      <c r="C201" s="34" t="s">
        <v>2434</v>
      </c>
    </row>
    <row r="202" spans="2:3" x14ac:dyDescent="0.4">
      <c r="B202" s="31" t="s">
        <v>2431</v>
      </c>
      <c r="C202" s="34" t="s">
        <v>2434</v>
      </c>
    </row>
    <row r="203" spans="2:3" x14ac:dyDescent="0.4">
      <c r="B203" s="31" t="s">
        <v>2432</v>
      </c>
      <c r="C203" s="34" t="s">
        <v>2434</v>
      </c>
    </row>
    <row r="204" spans="2:3" x14ac:dyDescent="0.4">
      <c r="B204" s="31" t="s">
        <v>2433</v>
      </c>
      <c r="C204" s="34" t="s">
        <v>2434</v>
      </c>
    </row>
    <row r="205" spans="2:3" x14ac:dyDescent="0.4">
      <c r="B205" s="31" t="s">
        <v>2436</v>
      </c>
      <c r="C205" s="34" t="s">
        <v>2441</v>
      </c>
    </row>
    <row r="206" spans="2:3" x14ac:dyDescent="0.4">
      <c r="B206" s="31" t="s">
        <v>2435</v>
      </c>
      <c r="C206" s="34" t="s">
        <v>2441</v>
      </c>
    </row>
    <row r="207" spans="2:3" x14ac:dyDescent="0.4">
      <c r="B207" s="31" t="s">
        <v>2437</v>
      </c>
      <c r="C207" s="34" t="s">
        <v>2441</v>
      </c>
    </row>
    <row r="208" spans="2:3" x14ac:dyDescent="0.4">
      <c r="B208" s="31" t="s">
        <v>2438</v>
      </c>
      <c r="C208" s="34" t="s">
        <v>2441</v>
      </c>
    </row>
    <row r="209" spans="2:3" x14ac:dyDescent="0.4">
      <c r="B209" s="31" t="s">
        <v>2439</v>
      </c>
      <c r="C209" s="34" t="s">
        <v>2441</v>
      </c>
    </row>
    <row r="210" spans="2:3" x14ac:dyDescent="0.4">
      <c r="B210" s="31" t="s">
        <v>2440</v>
      </c>
      <c r="C210" s="34" t="s">
        <v>2441</v>
      </c>
    </row>
    <row r="211" spans="2:3" x14ac:dyDescent="0.4">
      <c r="B211" s="31" t="s">
        <v>2442</v>
      </c>
      <c r="C211" s="34" t="s">
        <v>2446</v>
      </c>
    </row>
    <row r="212" spans="2:3" x14ac:dyDescent="0.4">
      <c r="B212" s="31" t="s">
        <v>2443</v>
      </c>
      <c r="C212" s="34" t="s">
        <v>2446</v>
      </c>
    </row>
    <row r="213" spans="2:3" x14ac:dyDescent="0.4">
      <c r="B213" s="31" t="s">
        <v>2444</v>
      </c>
      <c r="C213" s="34" t="s">
        <v>2446</v>
      </c>
    </row>
    <row r="214" spans="2:3" x14ac:dyDescent="0.4">
      <c r="B214" s="31" t="s">
        <v>2445</v>
      </c>
      <c r="C214" s="34" t="s">
        <v>2446</v>
      </c>
    </row>
    <row r="215" spans="2:3" x14ac:dyDescent="0.4">
      <c r="B215" s="31" t="s">
        <v>2447</v>
      </c>
      <c r="C215" s="34" t="s">
        <v>2450</v>
      </c>
    </row>
    <row r="216" spans="2:3" x14ac:dyDescent="0.4">
      <c r="B216" s="31" t="s">
        <v>2448</v>
      </c>
      <c r="C216" s="34" t="s">
        <v>2450</v>
      </c>
    </row>
    <row r="217" spans="2:3" x14ac:dyDescent="0.4">
      <c r="B217" s="31" t="s">
        <v>2449</v>
      </c>
      <c r="C217" s="34" t="s">
        <v>2450</v>
      </c>
    </row>
    <row r="218" spans="2:3" x14ac:dyDescent="0.4">
      <c r="B218" s="31" t="s">
        <v>2458</v>
      </c>
      <c r="C218" s="34" t="s">
        <v>2461</v>
      </c>
    </row>
    <row r="219" spans="2:3" x14ac:dyDescent="0.4">
      <c r="B219" s="31" t="s">
        <v>2462</v>
      </c>
      <c r="C219" s="34" t="s">
        <v>2461</v>
      </c>
    </row>
    <row r="220" spans="2:3" x14ac:dyDescent="0.4">
      <c r="B220" s="31" t="s">
        <v>2459</v>
      </c>
      <c r="C220" s="34" t="s">
        <v>2461</v>
      </c>
    </row>
    <row r="221" spans="2:3" x14ac:dyDescent="0.4">
      <c r="B221" s="31" t="s">
        <v>2460</v>
      </c>
      <c r="C221" s="34" t="s">
        <v>2461</v>
      </c>
    </row>
    <row r="222" spans="2:3" x14ac:dyDescent="0.4">
      <c r="B222" s="31" t="s">
        <v>2463</v>
      </c>
      <c r="C222" s="34" t="s">
        <v>2464</v>
      </c>
    </row>
    <row r="223" spans="2:3" x14ac:dyDescent="0.4">
      <c r="B223" s="31" t="s">
        <v>2465</v>
      </c>
      <c r="C223" s="34" t="s">
        <v>2466</v>
      </c>
    </row>
    <row r="224" spans="2:3" x14ac:dyDescent="0.4">
      <c r="B224" s="31" t="s">
        <v>2467</v>
      </c>
      <c r="C224" s="43" t="s">
        <v>2505</v>
      </c>
    </row>
    <row r="225" spans="2:3" x14ac:dyDescent="0.4">
      <c r="B225" s="31" t="s">
        <v>2468</v>
      </c>
      <c r="C225" s="34" t="s">
        <v>2471</v>
      </c>
    </row>
    <row r="226" spans="2:3" x14ac:dyDescent="0.4">
      <c r="B226" s="31" t="s">
        <v>2469</v>
      </c>
      <c r="C226" s="34" t="s">
        <v>2471</v>
      </c>
    </row>
    <row r="227" spans="2:3" x14ac:dyDescent="0.4">
      <c r="B227" s="31" t="s">
        <v>2470</v>
      </c>
      <c r="C227" s="34" t="s">
        <v>2471</v>
      </c>
    </row>
    <row r="228" spans="2:3" x14ac:dyDescent="0.4">
      <c r="B228" s="31" t="s">
        <v>2390</v>
      </c>
      <c r="C228" s="34" t="s">
        <v>2471</v>
      </c>
    </row>
    <row r="229" spans="2:3" x14ac:dyDescent="0.4">
      <c r="B229" s="31" t="s">
        <v>2472</v>
      </c>
      <c r="C229" s="34" t="s">
        <v>2475</v>
      </c>
    </row>
    <row r="230" spans="2:3" x14ac:dyDescent="0.4">
      <c r="B230" s="31" t="s">
        <v>2473</v>
      </c>
      <c r="C230" s="34" t="s">
        <v>2475</v>
      </c>
    </row>
    <row r="231" spans="2:3" x14ac:dyDescent="0.4">
      <c r="B231" s="31" t="s">
        <v>2474</v>
      </c>
      <c r="C231" s="34" t="s">
        <v>2475</v>
      </c>
    </row>
    <row r="232" spans="2:3" x14ac:dyDescent="0.4">
      <c r="B232" s="31" t="s">
        <v>2476</v>
      </c>
      <c r="C232" s="34" t="s">
        <v>2481</v>
      </c>
    </row>
    <row r="233" spans="2:3" x14ac:dyDescent="0.4">
      <c r="B233" s="31" t="s">
        <v>2477</v>
      </c>
      <c r="C233" s="34" t="s">
        <v>2481</v>
      </c>
    </row>
    <row r="234" spans="2:3" x14ac:dyDescent="0.4">
      <c r="B234" s="31" t="s">
        <v>2478</v>
      </c>
      <c r="C234" s="34" t="s">
        <v>2481</v>
      </c>
    </row>
    <row r="235" spans="2:3" x14ac:dyDescent="0.4">
      <c r="B235" s="31" t="s">
        <v>2479</v>
      </c>
      <c r="C235" s="34" t="s">
        <v>2481</v>
      </c>
    </row>
    <row r="236" spans="2:3" x14ac:dyDescent="0.4">
      <c r="B236" s="31" t="s">
        <v>2480</v>
      </c>
      <c r="C236" s="34" t="s">
        <v>2481</v>
      </c>
    </row>
    <row r="237" spans="2:3" x14ac:dyDescent="0.4">
      <c r="B237" s="31" t="s">
        <v>2482</v>
      </c>
      <c r="C237" s="34" t="s">
        <v>2483</v>
      </c>
    </row>
    <row r="238" spans="2:3" x14ac:dyDescent="0.4">
      <c r="B238" s="31" t="s">
        <v>2484</v>
      </c>
      <c r="C238" s="34" t="s">
        <v>2485</v>
      </c>
    </row>
    <row r="239" spans="2:3" x14ac:dyDescent="0.4">
      <c r="B239" s="31" t="s">
        <v>2486</v>
      </c>
      <c r="C239" s="34" t="s">
        <v>2487</v>
      </c>
    </row>
    <row r="240" spans="2:3" x14ac:dyDescent="0.4">
      <c r="B240" s="31" t="s">
        <v>2488</v>
      </c>
      <c r="C240" s="34" t="s">
        <v>2493</v>
      </c>
    </row>
    <row r="241" spans="2:3" x14ac:dyDescent="0.4">
      <c r="B241" s="31" t="s">
        <v>2489</v>
      </c>
      <c r="C241" s="34" t="s">
        <v>2493</v>
      </c>
    </row>
    <row r="242" spans="2:3" x14ac:dyDescent="0.4">
      <c r="B242" s="31" t="s">
        <v>2490</v>
      </c>
      <c r="C242" s="34" t="s">
        <v>2493</v>
      </c>
    </row>
    <row r="243" spans="2:3" x14ac:dyDescent="0.4">
      <c r="B243" s="31" t="s">
        <v>2491</v>
      </c>
      <c r="C243" s="34" t="s">
        <v>2493</v>
      </c>
    </row>
    <row r="244" spans="2:3" x14ac:dyDescent="0.4">
      <c r="B244" s="31" t="s">
        <v>2492</v>
      </c>
      <c r="C244" s="34" t="s">
        <v>2493</v>
      </c>
    </row>
    <row r="245" spans="2:3" x14ac:dyDescent="0.4">
      <c r="B245" s="31" t="s">
        <v>2494</v>
      </c>
      <c r="C245" s="34" t="s">
        <v>2124</v>
      </c>
    </row>
    <row r="246" spans="2:3" x14ac:dyDescent="0.4">
      <c r="B246" s="31" t="s">
        <v>2495</v>
      </c>
      <c r="C246" s="34" t="s">
        <v>2124</v>
      </c>
    </row>
    <row r="247" spans="2:3" x14ac:dyDescent="0.4">
      <c r="B247" s="31" t="s">
        <v>2496</v>
      </c>
      <c r="C247" s="34" t="s">
        <v>2124</v>
      </c>
    </row>
    <row r="248" spans="2:3" x14ac:dyDescent="0.4">
      <c r="B248" s="31" t="s">
        <v>2506</v>
      </c>
      <c r="C248" s="34" t="s">
        <v>2124</v>
      </c>
    </row>
    <row r="249" spans="2:3" x14ac:dyDescent="0.4">
      <c r="B249" s="31" t="s">
        <v>2507</v>
      </c>
      <c r="C249" s="34" t="s">
        <v>2124</v>
      </c>
    </row>
    <row r="250" spans="2:3" x14ac:dyDescent="0.4">
      <c r="B250" s="31" t="s">
        <v>2508</v>
      </c>
      <c r="C250" s="34" t="s">
        <v>2124</v>
      </c>
    </row>
    <row r="251" spans="2:3" x14ac:dyDescent="0.4">
      <c r="B251" s="31" t="s">
        <v>2509</v>
      </c>
      <c r="C251" s="34" t="s">
        <v>2124</v>
      </c>
    </row>
    <row r="252" spans="2:3" x14ac:dyDescent="0.4">
      <c r="B252" s="31" t="s">
        <v>2511</v>
      </c>
      <c r="C252" s="34" t="s">
        <v>2123</v>
      </c>
    </row>
    <row r="253" spans="2:3" x14ac:dyDescent="0.4">
      <c r="B253" s="31" t="s">
        <v>2512</v>
      </c>
      <c r="C253" s="32" t="s">
        <v>2133</v>
      </c>
    </row>
    <row r="254" spans="2:3" x14ac:dyDescent="0.4">
      <c r="B254" s="31" t="s">
        <v>2513</v>
      </c>
      <c r="C254" s="32" t="s">
        <v>2133</v>
      </c>
    </row>
    <row r="255" spans="2:3" x14ac:dyDescent="0.4">
      <c r="B255" s="31" t="s">
        <v>2514</v>
      </c>
      <c r="C255" s="32" t="s">
        <v>2133</v>
      </c>
    </row>
    <row r="256" spans="2:3" x14ac:dyDescent="0.4">
      <c r="B256" s="31" t="s">
        <v>2515</v>
      </c>
      <c r="C256" s="34" t="s">
        <v>2522</v>
      </c>
    </row>
    <row r="257" spans="2:3" x14ac:dyDescent="0.4">
      <c r="B257" s="31" t="s">
        <v>2516</v>
      </c>
      <c r="C257" s="34" t="s">
        <v>2522</v>
      </c>
    </row>
    <row r="258" spans="2:3" x14ac:dyDescent="0.4">
      <c r="B258" s="31" t="s">
        <v>2517</v>
      </c>
      <c r="C258" s="34" t="s">
        <v>2522</v>
      </c>
    </row>
    <row r="259" spans="2:3" x14ac:dyDescent="0.4">
      <c r="B259" s="31" t="s">
        <v>2518</v>
      </c>
      <c r="C259" s="34" t="s">
        <v>2522</v>
      </c>
    </row>
    <row r="260" spans="2:3" x14ac:dyDescent="0.4">
      <c r="B260" s="31" t="s">
        <v>2519</v>
      </c>
      <c r="C260" s="34" t="s">
        <v>2522</v>
      </c>
    </row>
    <row r="261" spans="2:3" x14ac:dyDescent="0.4">
      <c r="B261" s="31" t="s">
        <v>2520</v>
      </c>
      <c r="C261" s="34" t="s">
        <v>2522</v>
      </c>
    </row>
    <row r="262" spans="2:3" x14ac:dyDescent="0.4">
      <c r="B262" s="31" t="s">
        <v>2521</v>
      </c>
      <c r="C262" s="34" t="s">
        <v>2522</v>
      </c>
    </row>
    <row r="263" spans="2:3" x14ac:dyDescent="0.4">
      <c r="B263" s="31" t="s">
        <v>2364</v>
      </c>
      <c r="C263" s="34" t="s">
        <v>2522</v>
      </c>
    </row>
    <row r="264" spans="2:3" x14ac:dyDescent="0.4">
      <c r="B264" s="31" t="s">
        <v>2523</v>
      </c>
      <c r="C264" s="34" t="s">
        <v>2532</v>
      </c>
    </row>
    <row r="265" spans="2:3" x14ac:dyDescent="0.4">
      <c r="B265" s="31" t="s">
        <v>2524</v>
      </c>
      <c r="C265" s="34" t="s">
        <v>2532</v>
      </c>
    </row>
    <row r="266" spans="2:3" x14ac:dyDescent="0.4">
      <c r="B266" s="31" t="s">
        <v>2525</v>
      </c>
      <c r="C266" s="34" t="s">
        <v>2532</v>
      </c>
    </row>
    <row r="267" spans="2:3" x14ac:dyDescent="0.4">
      <c r="B267" s="31" t="s">
        <v>2526</v>
      </c>
      <c r="C267" s="34" t="s">
        <v>2532</v>
      </c>
    </row>
    <row r="268" spans="2:3" x14ac:dyDescent="0.4">
      <c r="B268" s="31" t="s">
        <v>2527</v>
      </c>
      <c r="C268" s="34" t="s">
        <v>2532</v>
      </c>
    </row>
    <row r="269" spans="2:3" x14ac:dyDescent="0.4">
      <c r="B269" s="31" t="s">
        <v>2273</v>
      </c>
      <c r="C269" s="34" t="s">
        <v>2532</v>
      </c>
    </row>
    <row r="270" spans="2:3" x14ac:dyDescent="0.4">
      <c r="B270" s="31" t="s">
        <v>2528</v>
      </c>
      <c r="C270" s="34" t="s">
        <v>2532</v>
      </c>
    </row>
    <row r="271" spans="2:3" x14ac:dyDescent="0.4">
      <c r="B271" s="31" t="s">
        <v>2529</v>
      </c>
      <c r="C271" s="34" t="s">
        <v>2532</v>
      </c>
    </row>
    <row r="272" spans="2:3" x14ac:dyDescent="0.4">
      <c r="B272" s="31" t="s">
        <v>2533</v>
      </c>
      <c r="C272" s="32" t="s">
        <v>2510</v>
      </c>
    </row>
    <row r="273" spans="2:3" x14ac:dyDescent="0.4">
      <c r="B273" s="31" t="s">
        <v>2236</v>
      </c>
      <c r="C273" s="32" t="s">
        <v>2510</v>
      </c>
    </row>
    <row r="274" spans="2:3" x14ac:dyDescent="0.4">
      <c r="B274" s="31" t="s">
        <v>2534</v>
      </c>
      <c r="C274" s="32" t="s">
        <v>2510</v>
      </c>
    </row>
    <row r="275" spans="2:3" x14ac:dyDescent="0.4">
      <c r="B275" s="31" t="s">
        <v>2535</v>
      </c>
      <c r="C275" s="34" t="s">
        <v>2537</v>
      </c>
    </row>
    <row r="276" spans="2:3" x14ac:dyDescent="0.4">
      <c r="B276" s="31" t="s">
        <v>2536</v>
      </c>
      <c r="C276" s="34" t="s">
        <v>2537</v>
      </c>
    </row>
    <row r="277" spans="2:3" x14ac:dyDescent="0.4">
      <c r="B277" s="31" t="s">
        <v>2540</v>
      </c>
      <c r="C277" s="32" t="s">
        <v>2117</v>
      </c>
    </row>
    <row r="278" spans="2:3" x14ac:dyDescent="0.4">
      <c r="B278" s="31" t="s">
        <v>2541</v>
      </c>
      <c r="C278" s="32" t="s">
        <v>2117</v>
      </c>
    </row>
    <row r="279" spans="2:3" x14ac:dyDescent="0.4">
      <c r="B279" s="31" t="s">
        <v>2542</v>
      </c>
      <c r="C279" s="32" t="s">
        <v>2117</v>
      </c>
    </row>
  </sheetData>
  <phoneticPr fontId="1"/>
  <hyperlinks>
    <hyperlink ref="C2" r:id="rId1" xr:uid="{0EB44661-183D-4646-80E2-AA1D4A96912E}"/>
    <hyperlink ref="C26" r:id="rId2" xr:uid="{105BFC71-5226-47EF-8B88-42C08E33B880}"/>
    <hyperlink ref="C27" r:id="rId3" xr:uid="{158B496B-D8CE-4C70-B207-69BDFE910B67}"/>
    <hyperlink ref="C28" r:id="rId4" xr:uid="{7F7C648E-7156-4AE0-95FF-F49439BC92D7}"/>
    <hyperlink ref="C29" r:id="rId5" xr:uid="{74A23EE2-81A4-492E-9B92-8B15616E0D11}"/>
    <hyperlink ref="C30" r:id="rId6" xr:uid="{D535204F-D3DC-4E0D-B9F9-99AF95FA4ACD}"/>
    <hyperlink ref="C31" r:id="rId7" xr:uid="{F949B8EB-99D0-4C2B-B0EB-F92A3C0F8F49}"/>
    <hyperlink ref="C32" r:id="rId8" xr:uid="{710F7492-3506-4999-BAFA-7F573B8E3A8A}"/>
    <hyperlink ref="C33" r:id="rId9" xr:uid="{B592B173-D1C1-4413-8C1C-C0AF4E431AD3}"/>
    <hyperlink ref="C34" r:id="rId10" xr:uid="{6C4BA2E9-C727-43B0-A29D-D09435B3A288}"/>
    <hyperlink ref="C35" r:id="rId11" xr:uid="{B43E2E47-BFAF-448C-B814-95A48DA6EFA1}"/>
    <hyperlink ref="C36" r:id="rId12" xr:uid="{1E906BC9-34FA-4F98-8758-5B43998F4730}"/>
    <hyperlink ref="C37" r:id="rId13" xr:uid="{42A07109-BDC8-435A-AF7F-AB27AB51DD2E}"/>
    <hyperlink ref="C38" r:id="rId14" xr:uid="{9529E9B7-FEF9-478F-98E2-12EBDA4A1130}"/>
    <hyperlink ref="C39" r:id="rId15" xr:uid="{9E1AA43B-AC4A-4B02-A331-BD7ABB83419D}"/>
    <hyperlink ref="C40" r:id="rId16" xr:uid="{7A8A5653-053D-4678-8755-B3EB6C021AEC}"/>
    <hyperlink ref="C41" r:id="rId17" xr:uid="{49A53077-CE6B-4084-B12F-727CDC458BF6}"/>
    <hyperlink ref="C42" r:id="rId18" xr:uid="{3A9C678F-E518-4BD6-A5B9-951EC9806F52}"/>
    <hyperlink ref="C43" r:id="rId19" xr:uid="{E1ABD804-6F32-4267-9363-5C4BB0DE4380}"/>
    <hyperlink ref="C44" r:id="rId20" xr:uid="{1F532866-B172-4F5C-866C-F14392BC837D}"/>
    <hyperlink ref="C45" r:id="rId21" xr:uid="{DEDE46D3-59A7-45B3-B474-6064F9E31660}"/>
    <hyperlink ref="C46" r:id="rId22" xr:uid="{868BF141-2DE6-497E-9FBC-4AE8EC561280}"/>
    <hyperlink ref="C47" r:id="rId23" xr:uid="{1A9D101D-5436-418A-B1D3-A10E55DCAEB0}"/>
    <hyperlink ref="C48" r:id="rId24" xr:uid="{0A543EEC-AD1C-411F-A874-A73994BFF645}"/>
    <hyperlink ref="C49" r:id="rId25" xr:uid="{FAA02E2D-6E05-489A-8A5A-296E4ADE0743}"/>
    <hyperlink ref="C50" r:id="rId26" xr:uid="{E76663FA-92C7-4086-959F-FF12131FC1F4}"/>
    <hyperlink ref="C51" r:id="rId27" xr:uid="{3BB3B688-BCDB-4AB1-9E05-E996CDE2B37C}"/>
    <hyperlink ref="C52" r:id="rId28" xr:uid="{5F7D4CDD-3586-460F-9482-2C0C25F4310E}"/>
    <hyperlink ref="C53" r:id="rId29" xr:uid="{7A32BA52-AC52-440B-A5C8-B8010FDB3A3E}"/>
    <hyperlink ref="C54" r:id="rId30" xr:uid="{1755F908-0626-4A13-8A41-AE3B869ED573}"/>
    <hyperlink ref="C55" r:id="rId31" xr:uid="{DC52ED96-0637-49FF-A28E-36F20A51C33C}"/>
    <hyperlink ref="C56:C70" r:id="rId32" display="地下街について" xr:uid="{CB188704-BC12-4A02-9FD0-638054C90375}"/>
    <hyperlink ref="C71" r:id="rId33" xr:uid="{7928797A-C5DF-4728-9549-ABC52D4EACEE}"/>
    <hyperlink ref="C72" r:id="rId34" xr:uid="{F76AB73C-F876-4DF2-96C6-6163DA320730}"/>
    <hyperlink ref="C73:C92" r:id="rId35" display="沿革？" xr:uid="{F4EE62D7-4C6F-4EA2-9B9C-33FB3A6EC0E3}"/>
    <hyperlink ref="C93" r:id="rId36" xr:uid="{583C6BD0-F972-4FCE-9396-2CBCC08D6FDE}"/>
    <hyperlink ref="C94" r:id="rId37" xr:uid="{F06D86F4-AB96-409E-8DDD-94645E5FE304}"/>
    <hyperlink ref="C95" r:id="rId38" xr:uid="{650ECBC7-1D3E-47F9-A04B-91409F4AFD82}"/>
    <hyperlink ref="C96" r:id="rId39" xr:uid="{75F24C6E-979A-4ECB-95F5-2AB7E52FFB3E}"/>
    <hyperlink ref="C97" r:id="rId40" xr:uid="{D9C0E6B3-F6F4-4826-91A7-073BB4A33382}"/>
    <hyperlink ref="C99" r:id="rId41" xr:uid="{C71D6526-B182-4F76-AF5F-B6B680D9C45A}"/>
    <hyperlink ref="C100:C108" r:id="rId42" display="そば屋" xr:uid="{40157A7E-CAB9-47AA-A338-F67391C4503D}"/>
    <hyperlink ref="C98" r:id="rId43" xr:uid="{420879CC-989A-4756-8081-0E73B34C1E0E}"/>
    <hyperlink ref="C110" r:id="rId44" xr:uid="{08AFE583-4426-461B-979B-F49FE83DAB8B}"/>
    <hyperlink ref="C111" r:id="rId45" xr:uid="{4B7DEC01-3433-493D-B1C4-DB5A8E94100F}"/>
    <hyperlink ref="C112" r:id="rId46" xr:uid="{033DA32D-FAE1-4F14-8183-633E4BD0685F}"/>
    <hyperlink ref="C113" r:id="rId47" xr:uid="{F5795EE1-139B-45EA-B58B-15E854EAAE5A}"/>
    <hyperlink ref="C109" r:id="rId48" xr:uid="{F2014E68-B566-4189-B5F6-D6EDBE18923E}"/>
    <hyperlink ref="C114" r:id="rId49" xr:uid="{15F4FF79-5F95-4C8F-A6B7-69888A1FCE6D}"/>
    <hyperlink ref="C115:C119" r:id="rId50" display="化しょう屋" xr:uid="{C36F89E4-6767-4188-A309-322ABD51A23A}"/>
    <hyperlink ref="C120" r:id="rId51" xr:uid="{B25A19F7-C29D-4D44-AC0C-A8DB47267A0C}"/>
    <hyperlink ref="C121" r:id="rId52" xr:uid="{A1A626FD-0CE4-486F-8590-123D1319E54C}"/>
    <hyperlink ref="C122" r:id="rId53" xr:uid="{1F8B8F90-51A5-4592-921F-1E537FBAAB02}"/>
    <hyperlink ref="C123" r:id="rId54" xr:uid="{87BFCFB8-139F-4781-AF48-25318B2E8D71}"/>
    <hyperlink ref="C124" r:id="rId55" xr:uid="{F40A3028-CD41-4895-810E-85739533F5BA}"/>
    <hyperlink ref="C125" r:id="rId56" xr:uid="{C3EF1F2D-B6BA-4AE2-8B14-1F43AFE56D4E}"/>
    <hyperlink ref="C126" r:id="rId57" xr:uid="{D6C949E3-BDA6-4B98-8D49-849E42D416EA}"/>
    <hyperlink ref="C127:C133" r:id="rId58" display="すし屋" xr:uid="{19CFE92A-BD95-4F91-A784-CB5138E9E5C4}"/>
    <hyperlink ref="C134" r:id="rId59" xr:uid="{C0DB6F37-9F22-4FB7-9A59-FCA8F06DF804}"/>
    <hyperlink ref="C135:C139" r:id="rId60" display="らーめん屋" xr:uid="{63D1B813-7B17-494F-BFD0-6ED9C23C668E}"/>
    <hyperlink ref="C140" r:id="rId61" xr:uid="{64CD0AF5-A92E-4E7F-AE38-241FA8F9302D}"/>
    <hyperlink ref="C141:C144" r:id="rId62" display="ばー" xr:uid="{BEED3297-1DC6-4F65-91E1-A74DB10D382C}"/>
    <hyperlink ref="C145" r:id="rId63" xr:uid="{C5C057AE-4947-4F4D-ADF4-6DFE9B7B1190}"/>
    <hyperlink ref="C146:C147" r:id="rId64" display="とこ屋" xr:uid="{B04EB1D9-D776-4BFF-BCDF-98FA89FFC4F6}"/>
    <hyperlink ref="C148" r:id="rId65" xr:uid="{46895BCD-A492-42BA-8537-5F5398E80386}"/>
    <hyperlink ref="C149:C156" r:id="rId66" display="いざか屋" xr:uid="{39266F4C-B934-4957-9402-7811D42AFD6B}"/>
    <hyperlink ref="C157" r:id="rId67" xr:uid="{F198DF54-7E95-4394-BF80-8CA922FC47ED}"/>
    <hyperlink ref="C158:C160" r:id="rId68" display="おにぎり屋" xr:uid="{398BF49B-AA77-45F5-BA77-9B3365BBE736}"/>
    <hyperlink ref="C161" r:id="rId69" xr:uid="{F98B3542-E61E-4C4A-A541-D41290107680}"/>
    <hyperlink ref="C162:C168" r:id="rId70" display="中かりょうり屋" xr:uid="{AE87470A-3000-4C0E-8365-72BCD5DCBF4F}"/>
    <hyperlink ref="C169" r:id="rId71" xr:uid="{0363DCBF-B486-4536-A7A7-05A05D0E5287}"/>
    <hyperlink ref="C170:C172" r:id="rId72" display="きっさ屋" xr:uid="{0041D719-6E11-42B7-8456-4D8C7DB65987}"/>
    <hyperlink ref="C173" r:id="rId73" xr:uid="{D6B4BEFA-5954-43EB-B798-B392F55C96FE}"/>
    <hyperlink ref="C174:C177" r:id="rId74" display="花屋" xr:uid="{21461B74-589B-4F4E-B344-8583D17BD3E1}"/>
    <hyperlink ref="C178" r:id="rId75" xr:uid="{FB788C7B-4C32-4CE4-91C4-B0A314142046}"/>
    <hyperlink ref="C181" r:id="rId76" xr:uid="{D8150307-7C4F-4883-93D1-DE938BDA255F}"/>
    <hyperlink ref="D133" r:id="rId77" xr:uid="{D7B5F7EF-8A3E-4EF9-BE9B-87BD25B1DEC3}"/>
    <hyperlink ref="C182:C184" r:id="rId78" display="うらない屋" xr:uid="{BD5B9AA7-BEE9-4B4D-869C-96CBA2E0AB53}"/>
    <hyperlink ref="C185" r:id="rId79" xr:uid="{A956E415-925E-4BE7-8C7B-34E6470531C7}"/>
    <hyperlink ref="C186:C187" r:id="rId80" display="じゃずばー" xr:uid="{F3C1261E-4D64-4AF6-B5B1-D120DE06DE1E}"/>
    <hyperlink ref="C188" r:id="rId81" xr:uid="{23FCEF9A-0D1E-42CA-AFD5-D7B4C91E6D26}"/>
    <hyperlink ref="C189:C191" r:id="rId82" display="れこーど屋" xr:uid="{67DEEB48-8CEC-4228-8750-64B86E077C59}"/>
    <hyperlink ref="C192" r:id="rId83" xr:uid="{80EE8314-4DD1-46C4-AE4C-CA0FD6A68933}"/>
    <hyperlink ref="C193:C195" r:id="rId84" display="くつ屋" xr:uid="{3788FC8E-1620-4335-8625-8DCA71AC925D}"/>
    <hyperlink ref="D159" r:id="rId85" xr:uid="{1AC6C13F-D00F-4482-98BE-1C2CCF13D05D}"/>
    <hyperlink ref="C196" r:id="rId86" xr:uid="{63988F07-EA6D-4F26-9226-45FD114364DC}"/>
    <hyperlink ref="C197:C199" r:id="rId87" display="本屋" xr:uid="{2A3A625B-6EA8-437E-81C7-68CF5E700BFC}"/>
    <hyperlink ref="C200" r:id="rId88" xr:uid="{11E58C7C-D20F-4332-BA3A-857C1491B32B}"/>
    <hyperlink ref="C201:C204" r:id="rId89" display="けーき屋" xr:uid="{88195962-BB93-453B-81A1-52FA5CBE67AF}"/>
    <hyperlink ref="C205" r:id="rId90" xr:uid="{724A06D0-79BF-46A2-B58C-0C3ECBBFDB45}"/>
    <hyperlink ref="C206:C210" r:id="rId91" display="清そう屋" xr:uid="{9E37B236-0ED6-47F6-BF18-86B12BD98E6B}"/>
    <hyperlink ref="C211" r:id="rId92" xr:uid="{EF971420-17D4-4182-8132-56F00A167A2C}"/>
    <hyperlink ref="C212:C214" r:id="rId93" display="時けい屋" xr:uid="{6C295750-0F27-47E0-9129-453CA0F3E98B}"/>
    <hyperlink ref="C215" r:id="rId94" xr:uid="{DB4BE4EC-BA0C-456D-B5AB-A0C311E10FC4}"/>
    <hyperlink ref="C216:C217" r:id="rId95" display="くすり屋" xr:uid="{C21A8AF9-DE63-4441-BD5E-F5FF047CB554}"/>
    <hyperlink ref="C218" r:id="rId96" xr:uid="{D901BE77-9912-45E3-9CE7-FF143E1A7C55}"/>
    <hyperlink ref="C220:C221" r:id="rId97" display="くりーにんぐ屋" xr:uid="{404FE6C1-57C6-4D57-9720-912B76B3036C}"/>
    <hyperlink ref="C219" r:id="rId98" xr:uid="{E32A61DB-E7C1-4C00-A9EA-3C2EE69560FA}"/>
    <hyperlink ref="C222" r:id="rId99" xr:uid="{F3012094-E137-4787-AE48-4A8F62EFE745}"/>
    <hyperlink ref="C223" r:id="rId100" xr:uid="{25CF5C66-B1C6-4B3A-84C7-C4ADF6D77959}"/>
    <hyperlink ref="C225" r:id="rId101" xr:uid="{839EE523-C1EB-477A-937F-EE6EB1036699}"/>
    <hyperlink ref="C226:C228" r:id="rId102" display="さかな屋" xr:uid="{07DEDAE6-0F0E-4F55-97E0-BD142C9B27AE}"/>
    <hyperlink ref="C229" r:id="rId103" xr:uid="{502DBEC4-B7C5-4CFC-8584-ABDD4EA3F6ED}"/>
    <hyperlink ref="C230:C231" r:id="rId104" display="にく屋" xr:uid="{DC6B22BE-216D-4D5A-8D80-2FAFCDB0AC3F}"/>
    <hyperlink ref="C232" r:id="rId105" xr:uid="{EE401DC3-88F7-4249-8C9A-96605006DE2C}"/>
    <hyperlink ref="C233:C236" r:id="rId106" display="やお屋" xr:uid="{12F780BD-5767-45CC-9334-FFF2BD577551}"/>
    <hyperlink ref="C237" r:id="rId107" xr:uid="{AE17D87F-99BC-4B4D-A0DE-0E71DF97404B}"/>
    <hyperlink ref="C238" r:id="rId108" xr:uid="{7CCF7295-4566-4BEF-8FF1-D5E5CCB7831A}"/>
    <hyperlink ref="C239" r:id="rId109" xr:uid="{15AA386F-0DE6-4B5E-A7D5-A9425E0E9828}"/>
    <hyperlink ref="C240" r:id="rId110" xr:uid="{D0B30C17-F063-4561-B237-C8C1CA22DFD0}"/>
    <hyperlink ref="C241:C244" r:id="rId111" display="ろう" xr:uid="{3BD43DBD-55EF-41BE-A011-822B56E450C7}"/>
    <hyperlink ref="C224" r:id="rId112" display="●壁？" xr:uid="{49CFE894-D6FF-4DAD-A18A-E33C19DC9AC5}"/>
    <hyperlink ref="C245" r:id="rId113" xr:uid="{9AC2C8BA-0A2B-4264-BFE4-5067BC7FCBBD}"/>
    <hyperlink ref="C246:C251" r:id="rId114" display="なき子" xr:uid="{CCC49224-E3E0-47BD-9BA3-ED7C3711BAF4}"/>
    <hyperlink ref="D76" r:id="rId115" xr:uid="{F3D3E429-A98C-4A89-8517-136EBFF9C669}"/>
    <hyperlink ref="C252" r:id="rId116" xr:uid="{65E40566-30C3-4405-8F7A-889FBFB7DFFA}"/>
    <hyperlink ref="C253" r:id="rId117" xr:uid="{BE4AA912-B770-40E4-B906-EAE9C1551E1C}"/>
    <hyperlink ref="C254:C255" r:id="rId118" display="防人？" xr:uid="{2B5523F8-A971-4220-8F3C-30D15C2EFAC1}"/>
    <hyperlink ref="C256" r:id="rId119" xr:uid="{A2738428-E5CC-4B2A-93E5-98A379E30895}"/>
    <hyperlink ref="C257:C263" r:id="rId120" display="けがれ" xr:uid="{0008DCD2-FF21-4623-AAC5-7D91862F0C2E}"/>
    <hyperlink ref="C264" r:id="rId121" xr:uid="{BD07EEFC-0953-41F4-B152-A03CB1E62DC4}"/>
    <hyperlink ref="C265:C271" r:id="rId122" display="うらみ" xr:uid="{AF7C3CCE-674F-45CE-8880-D3E6B96A72C7}"/>
    <hyperlink ref="C272" r:id="rId123" display="○われ？" xr:uid="{93D39234-2F6B-48A9-AF1B-26A8DCC0436F}"/>
    <hyperlink ref="C273" r:id="rId124" display="○われ？" xr:uid="{43B0567D-7FF1-4466-9A48-2925BB68E51E}"/>
    <hyperlink ref="C274" r:id="rId125" display="○われ？" xr:uid="{730085F8-679A-4F43-A0AD-E4EC5F41661F}"/>
    <hyperlink ref="C275" r:id="rId126" display="掟に関するお知らせ" xr:uid="{1A4DC9C6-4F62-44F4-BFAF-8D66E3D35D8B}"/>
    <hyperlink ref="C276" r:id="rId127" display="掟に関するお知らせ" xr:uid="{EBD1E9CC-84B0-460B-A3E2-55F79D7D39D3}"/>
    <hyperlink ref="C277" r:id="rId128" xr:uid="{E7E2781E-A84B-4ABF-BA0A-C0ACB4E628F5}"/>
    <hyperlink ref="C278" r:id="rId129" xr:uid="{B4115520-C38F-4A66-BFE7-C7655D625C10}"/>
    <hyperlink ref="C279" r:id="rId130" xr:uid="{7862982D-035B-43A4-B686-1000FA5D7C0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2026-08-18T15:41:11Z</dcterms:modified>
  <cp:category/>
  <cp:contentStatus/>
</cp:coreProperties>
</file>