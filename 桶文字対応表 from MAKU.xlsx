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C50243917C7CF35/okechika-henkan/"/>
    </mc:Choice>
  </mc:AlternateContent>
  <xr:revisionPtr revIDLastSave="2327" documentId="8_{D8CBA9BD-D283-4E9A-B411-3B84A074FC47}" xr6:coauthVersionLast="47" xr6:coauthVersionMax="47" xr10:uidLastSave="{C54C9753-355E-435F-BE27-1476202198B0}"/>
  <bookViews>
    <workbookView xWindow="-105" yWindow="0" windowWidth="13560" windowHeight="16305" tabRatio="668" xr2:uid="{9F16E5EF-0422-44C6-9445-EFA55A54836F}"/>
  </bookViews>
  <sheets>
    <sheet name="対応表" sheetId="4" r:id="rId1"/>
    <sheet name="unicode" sheetId="5" r:id="rId2"/>
    <sheet name="検索文字" sheetId="6" r:id="rId3"/>
    <sheet name="検索メモ" sheetId="7" r:id="rId4"/>
    <sheet name="存在しない漢字" sheetId="9" r:id="rId5"/>
    <sheet name="Sheet1" sheetId="10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S19" i="5" l="1"/>
  <c r="I6" i="5"/>
  <c r="I3" i="5"/>
  <c r="AS4" i="5"/>
  <c r="BC9" i="5"/>
  <c r="C13" i="5"/>
  <c r="BC11" i="5"/>
  <c r="AA4" i="5"/>
  <c r="CG15" i="5"/>
  <c r="CG13" i="5"/>
  <c r="CG10" i="5"/>
  <c r="W5" i="5"/>
  <c r="I12" i="5"/>
  <c r="CW7" i="5"/>
  <c r="G3" i="5"/>
  <c r="K19" i="5"/>
  <c r="M17" i="5"/>
  <c r="M19" i="5"/>
  <c r="M18" i="5"/>
  <c r="M22" i="5"/>
  <c r="O5" i="5"/>
  <c r="E22" i="5" a="1"/>
  <c r="E21" i="5" a="1"/>
  <c r="E20" i="5" a="1"/>
  <c r="I17" i="5"/>
  <c r="I20" i="5"/>
  <c r="CU5" i="5"/>
  <c r="CQ11" i="5"/>
  <c r="E19" i="5" a="1"/>
  <c r="E18" i="5" a="1"/>
  <c r="E17" i="5" a="1"/>
  <c r="E16" i="5" a="1"/>
  <c r="E14" i="5" a="1"/>
  <c r="E13" i="5" a="1"/>
  <c r="E12" i="5" a="1"/>
  <c r="E15" i="5" a="1"/>
  <c r="E10" i="5" a="1"/>
  <c r="E11" i="5" a="1"/>
  <c r="E8" i="5" a="1"/>
  <c r="E7" i="5" a="1"/>
  <c r="E6" i="5" a="1"/>
  <c r="E5" i="5" a="1"/>
  <c r="E4" i="5" a="1"/>
  <c r="E9" i="5" a="1"/>
  <c r="EK22" i="5"/>
  <c r="EI22" i="5"/>
  <c r="EG22" i="5"/>
  <c r="EE22" i="5"/>
  <c r="EC22" i="5"/>
  <c r="EA22" i="5"/>
  <c r="DY22" i="5"/>
  <c r="DW22" i="5"/>
  <c r="DU22" i="5"/>
  <c r="DS22" i="5"/>
  <c r="DQ22" i="5"/>
  <c r="DO22" i="5"/>
  <c r="DM22" i="5"/>
  <c r="DK22" i="5"/>
  <c r="DI22" i="5"/>
  <c r="DG22" i="5"/>
  <c r="DE22" i="5"/>
  <c r="DC22" i="5"/>
  <c r="DA22" i="5"/>
  <c r="CY22" i="5"/>
  <c r="CW22" i="5"/>
  <c r="CU22" i="5"/>
  <c r="CS22" i="5"/>
  <c r="CQ22" i="5"/>
  <c r="CO22" i="5"/>
  <c r="CM22" i="5"/>
  <c r="CK22" i="5"/>
  <c r="CI22" i="5"/>
  <c r="CG22" i="5"/>
  <c r="CE22" i="5"/>
  <c r="CC22" i="5"/>
  <c r="CA22" i="5"/>
  <c r="BY22" i="5"/>
  <c r="BW22" i="5"/>
  <c r="BU22" i="5"/>
  <c r="BS22" i="5"/>
  <c r="BQ22" i="5"/>
  <c r="BO22" i="5"/>
  <c r="BM22" i="5"/>
  <c r="BK22" i="5"/>
  <c r="BI22" i="5"/>
  <c r="BG22" i="5"/>
  <c r="BE22" i="5"/>
  <c r="BC22" i="5"/>
  <c r="BA22" i="5"/>
  <c r="AY22" i="5"/>
  <c r="AW22" i="5"/>
  <c r="AU22" i="5"/>
  <c r="AS22" i="5"/>
  <c r="AQ22" i="5"/>
  <c r="AO22" i="5"/>
  <c r="AM22" i="5"/>
  <c r="AK22" i="5"/>
  <c r="AI22" i="5"/>
  <c r="AG22" i="5"/>
  <c r="AE22" i="5"/>
  <c r="AC22" i="5"/>
  <c r="AA22" i="5"/>
  <c r="Y22" i="5"/>
  <c r="W22" i="5"/>
  <c r="U22" i="5"/>
  <c r="S22" i="5"/>
  <c r="Q22" i="5"/>
  <c r="O22" i="5"/>
  <c r="EK21" i="5"/>
  <c r="EI21" i="5"/>
  <c r="EG21" i="5"/>
  <c r="EE21" i="5"/>
  <c r="EC21" i="5"/>
  <c r="EA21" i="5"/>
  <c r="DY21" i="5"/>
  <c r="DW21" i="5"/>
  <c r="DU21" i="5"/>
  <c r="DS21" i="5"/>
  <c r="DQ21" i="5"/>
  <c r="DO21" i="5"/>
  <c r="DM21" i="5"/>
  <c r="DK21" i="5"/>
  <c r="DI21" i="5"/>
  <c r="DG21" i="5"/>
  <c r="DE21" i="5"/>
  <c r="DC21" i="5"/>
  <c r="DA21" i="5"/>
  <c r="CY21" i="5"/>
  <c r="CW21" i="5"/>
  <c r="CU21" i="5"/>
  <c r="CS21" i="5"/>
  <c r="CQ21" i="5"/>
  <c r="CO21" i="5"/>
  <c r="CM21" i="5"/>
  <c r="CK21" i="5"/>
  <c r="CI21" i="5"/>
  <c r="CG21" i="5"/>
  <c r="CE21" i="5"/>
  <c r="CC21" i="5"/>
  <c r="CA21" i="5"/>
  <c r="BY21" i="5"/>
  <c r="BW21" i="5"/>
  <c r="BU21" i="5"/>
  <c r="BS21" i="5"/>
  <c r="BQ21" i="5"/>
  <c r="BO21" i="5"/>
  <c r="BM21" i="5"/>
  <c r="BK21" i="5"/>
  <c r="BI21" i="5"/>
  <c r="BG21" i="5"/>
  <c r="BE21" i="5"/>
  <c r="BC21" i="5"/>
  <c r="BA21" i="5"/>
  <c r="AY21" i="5"/>
  <c r="AW21" i="5"/>
  <c r="AU21" i="5"/>
  <c r="AS21" i="5"/>
  <c r="AQ21" i="5"/>
  <c r="AO21" i="5"/>
  <c r="AM21" i="5"/>
  <c r="AK21" i="5"/>
  <c r="AI21" i="5"/>
  <c r="AG21" i="5"/>
  <c r="AE21" i="5"/>
  <c r="AC21" i="5"/>
  <c r="AA21" i="5"/>
  <c r="Y21" i="5"/>
  <c r="W21" i="5"/>
  <c r="U21" i="5"/>
  <c r="S21" i="5"/>
  <c r="Q21" i="5"/>
  <c r="O21" i="5"/>
  <c r="EK20" i="5"/>
  <c r="EI20" i="5"/>
  <c r="EG20" i="5"/>
  <c r="EE20" i="5"/>
  <c r="EC20" i="5"/>
  <c r="EA20" i="5"/>
  <c r="DY20" i="5"/>
  <c r="DW20" i="5"/>
  <c r="DU20" i="5"/>
  <c r="DS20" i="5"/>
  <c r="DQ20" i="5"/>
  <c r="DO20" i="5"/>
  <c r="DM20" i="5"/>
  <c r="DK20" i="5"/>
  <c r="DI20" i="5"/>
  <c r="DG20" i="5"/>
  <c r="DE20" i="5"/>
  <c r="DC20" i="5"/>
  <c r="DA20" i="5"/>
  <c r="CY20" i="5"/>
  <c r="CW20" i="5"/>
  <c r="CU20" i="5"/>
  <c r="CS20" i="5"/>
  <c r="CQ20" i="5"/>
  <c r="CO20" i="5"/>
  <c r="CM20" i="5"/>
  <c r="CK20" i="5"/>
  <c r="CI20" i="5"/>
  <c r="CG20" i="5"/>
  <c r="CE20" i="5"/>
  <c r="CC20" i="5"/>
  <c r="CA20" i="5"/>
  <c r="BY20" i="5"/>
  <c r="BW20" i="5"/>
  <c r="BU20" i="5"/>
  <c r="BS20" i="5"/>
  <c r="BQ20" i="5"/>
  <c r="BO20" i="5"/>
  <c r="BM20" i="5"/>
  <c r="BK20" i="5"/>
  <c r="BI20" i="5"/>
  <c r="BG20" i="5"/>
  <c r="BE20" i="5"/>
  <c r="BC20" i="5"/>
  <c r="BA20" i="5"/>
  <c r="AY20" i="5"/>
  <c r="AW20" i="5"/>
  <c r="AU20" i="5"/>
  <c r="AS20" i="5"/>
  <c r="AQ20" i="5"/>
  <c r="AO20" i="5"/>
  <c r="AM20" i="5"/>
  <c r="AK20" i="5"/>
  <c r="AI20" i="5"/>
  <c r="AG20" i="5"/>
  <c r="AE20" i="5"/>
  <c r="AC20" i="5"/>
  <c r="AA20" i="5"/>
  <c r="Y20" i="5"/>
  <c r="W20" i="5"/>
  <c r="U20" i="5"/>
  <c r="S20" i="5"/>
  <c r="Q20" i="5"/>
  <c r="O20" i="5"/>
  <c r="EK19" i="5"/>
  <c r="EI19" i="5"/>
  <c r="EG19" i="5"/>
  <c r="EE19" i="5"/>
  <c r="EC19" i="5"/>
  <c r="EA19" i="5"/>
  <c r="DY19" i="5"/>
  <c r="DW19" i="5"/>
  <c r="DU19" i="5"/>
  <c r="DQ19" i="5"/>
  <c r="DO19" i="5"/>
  <c r="DM19" i="5"/>
  <c r="DK19" i="5"/>
  <c r="DI19" i="5"/>
  <c r="DG19" i="5"/>
  <c r="DE19" i="5"/>
  <c r="DC19" i="5"/>
  <c r="DA19" i="5"/>
  <c r="CY19" i="5"/>
  <c r="CW19" i="5"/>
  <c r="CU19" i="5"/>
  <c r="CS19" i="5"/>
  <c r="CQ19" i="5"/>
  <c r="CO19" i="5"/>
  <c r="CM19" i="5"/>
  <c r="CK19" i="5"/>
  <c r="CI19" i="5"/>
  <c r="CG19" i="5"/>
  <c r="CE19" i="5"/>
  <c r="CC19" i="5"/>
  <c r="CA19" i="5"/>
  <c r="BY19" i="5"/>
  <c r="BW19" i="5"/>
  <c r="BU19" i="5"/>
  <c r="BS19" i="5"/>
  <c r="BQ19" i="5"/>
  <c r="BO19" i="5"/>
  <c r="BM19" i="5"/>
  <c r="BK19" i="5"/>
  <c r="BI19" i="5"/>
  <c r="BG19" i="5"/>
  <c r="BE19" i="5"/>
  <c r="BC19" i="5"/>
  <c r="BA19" i="5"/>
  <c r="AY19" i="5"/>
  <c r="AW19" i="5"/>
  <c r="AU19" i="5"/>
  <c r="AS19" i="5"/>
  <c r="AQ19" i="5"/>
  <c r="AO19" i="5"/>
  <c r="AM19" i="5"/>
  <c r="AK19" i="5"/>
  <c r="AI19" i="5"/>
  <c r="AG19" i="5"/>
  <c r="AE19" i="5"/>
  <c r="AC19" i="5"/>
  <c r="AA19" i="5"/>
  <c r="Y19" i="5"/>
  <c r="W19" i="5"/>
  <c r="U19" i="5"/>
  <c r="S19" i="5"/>
  <c r="Q19" i="5"/>
  <c r="O19" i="5"/>
  <c r="EK18" i="5"/>
  <c r="EI18" i="5"/>
  <c r="EG18" i="5"/>
  <c r="EE18" i="5"/>
  <c r="EC18" i="5"/>
  <c r="EA18" i="5"/>
  <c r="DY18" i="5"/>
  <c r="DW18" i="5"/>
  <c r="DU18" i="5"/>
  <c r="DS18" i="5"/>
  <c r="DQ18" i="5"/>
  <c r="DO18" i="5"/>
  <c r="DM18" i="5"/>
  <c r="DK18" i="5"/>
  <c r="DI18" i="5"/>
  <c r="DG18" i="5"/>
  <c r="DE18" i="5"/>
  <c r="DC18" i="5"/>
  <c r="DA18" i="5"/>
  <c r="CY18" i="5"/>
  <c r="CW18" i="5"/>
  <c r="CU18" i="5"/>
  <c r="CS18" i="5"/>
  <c r="CQ18" i="5"/>
  <c r="CO18" i="5"/>
  <c r="CM18" i="5"/>
  <c r="CK18" i="5"/>
  <c r="CI18" i="5"/>
  <c r="CG18" i="5"/>
  <c r="CE18" i="5"/>
  <c r="CC18" i="5"/>
  <c r="CA18" i="5"/>
  <c r="BY18" i="5"/>
  <c r="BW18" i="5"/>
  <c r="BU18" i="5"/>
  <c r="BS18" i="5"/>
  <c r="BQ18" i="5"/>
  <c r="BO18" i="5"/>
  <c r="BM18" i="5"/>
  <c r="BK18" i="5"/>
  <c r="BI18" i="5"/>
  <c r="BG18" i="5"/>
  <c r="BE18" i="5"/>
  <c r="BC18" i="5"/>
  <c r="BA18" i="5"/>
  <c r="AY18" i="5"/>
  <c r="AW18" i="5"/>
  <c r="AU18" i="5"/>
  <c r="AS18" i="5"/>
  <c r="AQ18" i="5"/>
  <c r="AO18" i="5"/>
  <c r="AM18" i="5"/>
  <c r="AK18" i="5"/>
  <c r="AI18" i="5"/>
  <c r="AG18" i="5"/>
  <c r="AE18" i="5"/>
  <c r="AC18" i="5"/>
  <c r="AA18" i="5"/>
  <c r="Y18" i="5"/>
  <c r="W18" i="5"/>
  <c r="U18" i="5"/>
  <c r="S18" i="5"/>
  <c r="Q18" i="5"/>
  <c r="O18" i="5"/>
  <c r="EK17" i="5"/>
  <c r="EI17" i="5"/>
  <c r="EG17" i="5"/>
  <c r="EE17" i="5"/>
  <c r="EC17" i="5"/>
  <c r="EA17" i="5"/>
  <c r="DY17" i="5"/>
  <c r="DW17" i="5"/>
  <c r="DU17" i="5"/>
  <c r="DS17" i="5"/>
  <c r="DQ17" i="5"/>
  <c r="DO17" i="5"/>
  <c r="DM17" i="5"/>
  <c r="DK17" i="5"/>
  <c r="DI17" i="5"/>
  <c r="DG17" i="5"/>
  <c r="DE17" i="5"/>
  <c r="DC17" i="5"/>
  <c r="DA17" i="5"/>
  <c r="CY17" i="5"/>
  <c r="CW17" i="5"/>
  <c r="CU17" i="5"/>
  <c r="CS17" i="5"/>
  <c r="CQ17" i="5"/>
  <c r="CO17" i="5"/>
  <c r="CM17" i="5"/>
  <c r="CK17" i="5"/>
  <c r="CI17" i="5"/>
  <c r="CG17" i="5"/>
  <c r="CE17" i="5"/>
  <c r="CC17" i="5"/>
  <c r="CA17" i="5"/>
  <c r="BY17" i="5"/>
  <c r="BW17" i="5"/>
  <c r="BU17" i="5"/>
  <c r="BS17" i="5"/>
  <c r="BQ17" i="5"/>
  <c r="BO17" i="5"/>
  <c r="BM17" i="5"/>
  <c r="BK17" i="5"/>
  <c r="BI17" i="5"/>
  <c r="BG17" i="5"/>
  <c r="BE17" i="5"/>
  <c r="BC17" i="5"/>
  <c r="BA17" i="5"/>
  <c r="AY17" i="5"/>
  <c r="AW17" i="5"/>
  <c r="AU17" i="5"/>
  <c r="AS17" i="5"/>
  <c r="AQ17" i="5"/>
  <c r="AO17" i="5"/>
  <c r="AM17" i="5"/>
  <c r="AK17" i="5"/>
  <c r="AI17" i="5"/>
  <c r="AG17" i="5"/>
  <c r="AE17" i="5"/>
  <c r="AC17" i="5"/>
  <c r="AA17" i="5"/>
  <c r="Y17" i="5"/>
  <c r="W17" i="5"/>
  <c r="U17" i="5"/>
  <c r="S17" i="5"/>
  <c r="Q17" i="5"/>
  <c r="O17" i="5"/>
  <c r="EK16" i="5"/>
  <c r="EI16" i="5"/>
  <c r="EG16" i="5"/>
  <c r="EE16" i="5"/>
  <c r="EC16" i="5"/>
  <c r="EA16" i="5"/>
  <c r="DY16" i="5"/>
  <c r="DW16" i="5"/>
  <c r="DU16" i="5"/>
  <c r="DS16" i="5"/>
  <c r="DQ16" i="5"/>
  <c r="DO16" i="5"/>
  <c r="DM16" i="5"/>
  <c r="DK16" i="5"/>
  <c r="DI16" i="5"/>
  <c r="DG16" i="5"/>
  <c r="DE16" i="5"/>
  <c r="DC16" i="5"/>
  <c r="DA16" i="5"/>
  <c r="CY16" i="5"/>
  <c r="CW16" i="5"/>
  <c r="CU16" i="5"/>
  <c r="CS16" i="5"/>
  <c r="CQ16" i="5"/>
  <c r="CO16" i="5"/>
  <c r="CM16" i="5"/>
  <c r="CK16" i="5"/>
  <c r="CI16" i="5"/>
  <c r="CG16" i="5"/>
  <c r="CE16" i="5"/>
  <c r="CC16" i="5"/>
  <c r="CA16" i="5"/>
  <c r="BY16" i="5"/>
  <c r="BW16" i="5"/>
  <c r="BU16" i="5"/>
  <c r="BS16" i="5"/>
  <c r="BQ16" i="5"/>
  <c r="BO16" i="5"/>
  <c r="BM16" i="5"/>
  <c r="BK16" i="5"/>
  <c r="BI16" i="5"/>
  <c r="BG16" i="5"/>
  <c r="BE16" i="5"/>
  <c r="BC16" i="5"/>
  <c r="BA16" i="5"/>
  <c r="AY16" i="5"/>
  <c r="AW16" i="5"/>
  <c r="AU16" i="5"/>
  <c r="AS16" i="5"/>
  <c r="AQ16" i="5"/>
  <c r="AO16" i="5"/>
  <c r="AM16" i="5"/>
  <c r="AK16" i="5"/>
  <c r="AI16" i="5"/>
  <c r="AG16" i="5"/>
  <c r="AE16" i="5"/>
  <c r="AC16" i="5"/>
  <c r="AA16" i="5"/>
  <c r="Y16" i="5"/>
  <c r="W16" i="5"/>
  <c r="U16" i="5"/>
  <c r="S16" i="5"/>
  <c r="Q16" i="5"/>
  <c r="O16" i="5"/>
  <c r="EK15" i="5"/>
  <c r="EI15" i="5"/>
  <c r="EG15" i="5"/>
  <c r="EE15" i="5"/>
  <c r="EC15" i="5"/>
  <c r="EA15" i="5"/>
  <c r="DY15" i="5"/>
  <c r="DW15" i="5"/>
  <c r="DU15" i="5"/>
  <c r="DS15" i="5"/>
  <c r="DQ15" i="5"/>
  <c r="DO15" i="5"/>
  <c r="DM15" i="5"/>
  <c r="DK15" i="5"/>
  <c r="DI15" i="5"/>
  <c r="DG15" i="5"/>
  <c r="DE15" i="5"/>
  <c r="DC15" i="5"/>
  <c r="DA15" i="5"/>
  <c r="CY15" i="5"/>
  <c r="CW15" i="5"/>
  <c r="CU15" i="5"/>
  <c r="CS15" i="5"/>
  <c r="CQ15" i="5"/>
  <c r="CO15" i="5"/>
  <c r="CM15" i="5"/>
  <c r="CK15" i="5"/>
  <c r="CI15" i="5"/>
  <c r="CE15" i="5"/>
  <c r="CC15" i="5"/>
  <c r="CA15" i="5"/>
  <c r="BY15" i="5"/>
  <c r="BW15" i="5"/>
  <c r="BU15" i="5"/>
  <c r="BS15" i="5"/>
  <c r="BQ15" i="5"/>
  <c r="BO15" i="5"/>
  <c r="BM15" i="5"/>
  <c r="BK15" i="5"/>
  <c r="BI15" i="5"/>
  <c r="BG15" i="5"/>
  <c r="BE15" i="5"/>
  <c r="BC15" i="5"/>
  <c r="BA15" i="5"/>
  <c r="AY15" i="5"/>
  <c r="AW15" i="5"/>
  <c r="AU15" i="5"/>
  <c r="AS15" i="5"/>
  <c r="AQ15" i="5"/>
  <c r="AO15" i="5"/>
  <c r="AM15" i="5"/>
  <c r="AK15" i="5"/>
  <c r="AI15" i="5"/>
  <c r="AG15" i="5"/>
  <c r="AE15" i="5"/>
  <c r="AC15" i="5"/>
  <c r="AA15" i="5"/>
  <c r="Y15" i="5"/>
  <c r="W15" i="5"/>
  <c r="U15" i="5"/>
  <c r="S15" i="5"/>
  <c r="Q15" i="5"/>
  <c r="O15" i="5"/>
  <c r="EK14" i="5"/>
  <c r="EI14" i="5"/>
  <c r="EG14" i="5"/>
  <c r="EE14" i="5"/>
  <c r="EC14" i="5"/>
  <c r="EA14" i="5"/>
  <c r="DY14" i="5"/>
  <c r="DW14" i="5"/>
  <c r="DU14" i="5"/>
  <c r="DS14" i="5"/>
  <c r="DQ14" i="5"/>
  <c r="DO14" i="5"/>
  <c r="DM14" i="5"/>
  <c r="DK14" i="5"/>
  <c r="DI14" i="5"/>
  <c r="DG14" i="5"/>
  <c r="DE14" i="5"/>
  <c r="DC14" i="5"/>
  <c r="DA14" i="5"/>
  <c r="CY14" i="5"/>
  <c r="CW14" i="5"/>
  <c r="CU14" i="5"/>
  <c r="CS14" i="5"/>
  <c r="CQ14" i="5"/>
  <c r="CO14" i="5"/>
  <c r="CM14" i="5"/>
  <c r="CK14" i="5"/>
  <c r="CI14" i="5"/>
  <c r="CG14" i="5"/>
  <c r="CE14" i="5"/>
  <c r="CC14" i="5"/>
  <c r="CA14" i="5"/>
  <c r="BY14" i="5"/>
  <c r="BW14" i="5"/>
  <c r="BU14" i="5"/>
  <c r="BS14" i="5"/>
  <c r="BQ14" i="5"/>
  <c r="BO14" i="5"/>
  <c r="BM14" i="5"/>
  <c r="BK14" i="5"/>
  <c r="BI14" i="5"/>
  <c r="BG14" i="5"/>
  <c r="BE14" i="5"/>
  <c r="BC14" i="5"/>
  <c r="BA14" i="5"/>
  <c r="AY14" i="5"/>
  <c r="AW14" i="5"/>
  <c r="AU14" i="5"/>
  <c r="AS14" i="5"/>
  <c r="AQ14" i="5"/>
  <c r="AO14" i="5"/>
  <c r="AM14" i="5"/>
  <c r="AK14" i="5"/>
  <c r="AI14" i="5"/>
  <c r="AG14" i="5"/>
  <c r="AE14" i="5"/>
  <c r="AC14" i="5"/>
  <c r="AA14" i="5"/>
  <c r="Y14" i="5"/>
  <c r="W14" i="5"/>
  <c r="U14" i="5"/>
  <c r="S14" i="5"/>
  <c r="Q14" i="5"/>
  <c r="O14" i="5"/>
  <c r="EK13" i="5"/>
  <c r="EI13" i="5"/>
  <c r="EG13" i="5"/>
  <c r="EE13" i="5"/>
  <c r="EC13" i="5"/>
  <c r="EA13" i="5"/>
  <c r="DY13" i="5"/>
  <c r="DW13" i="5"/>
  <c r="DU13" i="5"/>
  <c r="DS13" i="5"/>
  <c r="DQ13" i="5"/>
  <c r="DO13" i="5"/>
  <c r="DM13" i="5"/>
  <c r="DK13" i="5"/>
  <c r="DI13" i="5"/>
  <c r="DG13" i="5"/>
  <c r="DE13" i="5"/>
  <c r="DC13" i="5"/>
  <c r="DA13" i="5"/>
  <c r="CY13" i="5"/>
  <c r="CW13" i="5"/>
  <c r="CU13" i="5"/>
  <c r="CS13" i="5"/>
  <c r="CQ13" i="5"/>
  <c r="CO13" i="5"/>
  <c r="CM13" i="5"/>
  <c r="CK13" i="5"/>
  <c r="CI13" i="5"/>
  <c r="CE13" i="5"/>
  <c r="CC13" i="5"/>
  <c r="CA13" i="5"/>
  <c r="BY13" i="5"/>
  <c r="BW13" i="5"/>
  <c r="BU13" i="5"/>
  <c r="BS13" i="5"/>
  <c r="BQ13" i="5"/>
  <c r="BO13" i="5"/>
  <c r="BM13" i="5"/>
  <c r="BK13" i="5"/>
  <c r="BI13" i="5"/>
  <c r="BG13" i="5"/>
  <c r="BE13" i="5"/>
  <c r="BC13" i="5"/>
  <c r="BA13" i="5"/>
  <c r="AY13" i="5"/>
  <c r="AW13" i="5"/>
  <c r="AU13" i="5"/>
  <c r="AS13" i="5"/>
  <c r="AQ13" i="5"/>
  <c r="AO13" i="5"/>
  <c r="AM13" i="5"/>
  <c r="AK13" i="5"/>
  <c r="AI13" i="5"/>
  <c r="AG13" i="5"/>
  <c r="AE13" i="5"/>
  <c r="AC13" i="5"/>
  <c r="AA13" i="5"/>
  <c r="Y13" i="5"/>
  <c r="W13" i="5"/>
  <c r="U13" i="5"/>
  <c r="S13" i="5"/>
  <c r="Q13" i="5"/>
  <c r="O13" i="5"/>
  <c r="EK12" i="5"/>
  <c r="EI12" i="5"/>
  <c r="EG12" i="5"/>
  <c r="EE12" i="5"/>
  <c r="EC12" i="5"/>
  <c r="EA12" i="5"/>
  <c r="DY12" i="5"/>
  <c r="DW12" i="5"/>
  <c r="DU12" i="5"/>
  <c r="DS12" i="5"/>
  <c r="DQ12" i="5"/>
  <c r="DO12" i="5"/>
  <c r="DM12" i="5"/>
  <c r="DK12" i="5"/>
  <c r="DI12" i="5"/>
  <c r="DG12" i="5"/>
  <c r="DE12" i="5"/>
  <c r="DC12" i="5"/>
  <c r="DA12" i="5"/>
  <c r="CY12" i="5"/>
  <c r="CW12" i="5"/>
  <c r="CU12" i="5"/>
  <c r="CS12" i="5"/>
  <c r="CQ12" i="5"/>
  <c r="CO12" i="5"/>
  <c r="CM12" i="5"/>
  <c r="CK12" i="5"/>
  <c r="CI12" i="5"/>
  <c r="CG12" i="5"/>
  <c r="CE12" i="5"/>
  <c r="CC12" i="5"/>
  <c r="CA12" i="5"/>
  <c r="BY12" i="5"/>
  <c r="BW12" i="5"/>
  <c r="BU12" i="5"/>
  <c r="BS12" i="5"/>
  <c r="BQ12" i="5"/>
  <c r="BO12" i="5"/>
  <c r="BM12" i="5"/>
  <c r="BK12" i="5"/>
  <c r="BI12" i="5"/>
  <c r="BG12" i="5"/>
  <c r="BE12" i="5"/>
  <c r="BC12" i="5"/>
  <c r="BA12" i="5"/>
  <c r="AY12" i="5"/>
  <c r="AW12" i="5"/>
  <c r="AU12" i="5"/>
  <c r="AS12" i="5"/>
  <c r="AQ12" i="5"/>
  <c r="AO12" i="5"/>
  <c r="AM12" i="5"/>
  <c r="AK12" i="5"/>
  <c r="AI12" i="5"/>
  <c r="AG12" i="5"/>
  <c r="AE12" i="5"/>
  <c r="AC12" i="5"/>
  <c r="AA12" i="5"/>
  <c r="Y12" i="5"/>
  <c r="W12" i="5"/>
  <c r="U12" i="5"/>
  <c r="S12" i="5"/>
  <c r="Q12" i="5"/>
  <c r="O12" i="5"/>
  <c r="EK11" i="5"/>
  <c r="EI11" i="5"/>
  <c r="EG11" i="5"/>
  <c r="EE11" i="5"/>
  <c r="EC11" i="5"/>
  <c r="EA11" i="5"/>
  <c r="DY11" i="5"/>
  <c r="DW11" i="5"/>
  <c r="DU11" i="5"/>
  <c r="DS11" i="5"/>
  <c r="DQ11" i="5"/>
  <c r="DO11" i="5"/>
  <c r="DM11" i="5"/>
  <c r="DK11" i="5"/>
  <c r="DI11" i="5"/>
  <c r="DG11" i="5"/>
  <c r="DE11" i="5"/>
  <c r="DC11" i="5"/>
  <c r="DA11" i="5"/>
  <c r="CY11" i="5"/>
  <c r="CW11" i="5"/>
  <c r="CU11" i="5"/>
  <c r="CS11" i="5"/>
  <c r="CO11" i="5"/>
  <c r="CM11" i="5"/>
  <c r="CK11" i="5"/>
  <c r="CI11" i="5"/>
  <c r="CG11" i="5"/>
  <c r="CE11" i="5"/>
  <c r="CC11" i="5"/>
  <c r="CA11" i="5"/>
  <c r="BY11" i="5"/>
  <c r="BW11" i="5"/>
  <c r="BU11" i="5"/>
  <c r="BS11" i="5"/>
  <c r="BQ11" i="5"/>
  <c r="BO11" i="5"/>
  <c r="BM11" i="5"/>
  <c r="BK11" i="5"/>
  <c r="BI11" i="5"/>
  <c r="BG11" i="5"/>
  <c r="BE11" i="5"/>
  <c r="BA11" i="5"/>
  <c r="AY11" i="5"/>
  <c r="AW11" i="5"/>
  <c r="AU11" i="5"/>
  <c r="AS11" i="5"/>
  <c r="AQ11" i="5"/>
  <c r="AO11" i="5"/>
  <c r="AM11" i="5"/>
  <c r="AK11" i="5"/>
  <c r="AI11" i="5"/>
  <c r="AG11" i="5"/>
  <c r="AE11" i="5"/>
  <c r="AC11" i="5"/>
  <c r="AA11" i="5"/>
  <c r="Y11" i="5"/>
  <c r="W11" i="5"/>
  <c r="U11" i="5"/>
  <c r="S11" i="5"/>
  <c r="Q11" i="5"/>
  <c r="O11" i="5"/>
  <c r="EK10" i="5"/>
  <c r="EI10" i="5"/>
  <c r="EG10" i="5"/>
  <c r="EE10" i="5"/>
  <c r="EC10" i="5"/>
  <c r="EA10" i="5"/>
  <c r="DY10" i="5"/>
  <c r="DW10" i="5"/>
  <c r="DU10" i="5"/>
  <c r="DS10" i="5"/>
  <c r="DQ10" i="5"/>
  <c r="DO10" i="5"/>
  <c r="DM10" i="5"/>
  <c r="DK10" i="5"/>
  <c r="DI10" i="5"/>
  <c r="DG10" i="5"/>
  <c r="DE10" i="5"/>
  <c r="DC10" i="5"/>
  <c r="DA10" i="5"/>
  <c r="CY10" i="5"/>
  <c r="CW10" i="5"/>
  <c r="CU10" i="5"/>
  <c r="CS10" i="5"/>
  <c r="CQ10" i="5"/>
  <c r="CO10" i="5"/>
  <c r="CM10" i="5"/>
  <c r="CK10" i="5"/>
  <c r="CI10" i="5"/>
  <c r="CE10" i="5"/>
  <c r="CC10" i="5"/>
  <c r="CA10" i="5"/>
  <c r="BY10" i="5"/>
  <c r="BW10" i="5"/>
  <c r="BU10" i="5"/>
  <c r="BS10" i="5"/>
  <c r="BQ10" i="5"/>
  <c r="BO10" i="5"/>
  <c r="BM10" i="5"/>
  <c r="BK10" i="5"/>
  <c r="BI10" i="5"/>
  <c r="BG10" i="5"/>
  <c r="BE10" i="5"/>
  <c r="BC10" i="5"/>
  <c r="BA10" i="5"/>
  <c r="AY10" i="5"/>
  <c r="AW10" i="5"/>
  <c r="AU10" i="5"/>
  <c r="AS10" i="5"/>
  <c r="AQ10" i="5"/>
  <c r="AO10" i="5"/>
  <c r="AM10" i="5"/>
  <c r="AK10" i="5"/>
  <c r="AI10" i="5"/>
  <c r="AG10" i="5"/>
  <c r="AE10" i="5"/>
  <c r="AC10" i="5"/>
  <c r="AA10" i="5"/>
  <c r="Y10" i="5"/>
  <c r="W10" i="5"/>
  <c r="U10" i="5"/>
  <c r="S10" i="5"/>
  <c r="Q10" i="5"/>
  <c r="O10" i="5"/>
  <c r="EK9" i="5"/>
  <c r="EI9" i="5"/>
  <c r="EG9" i="5"/>
  <c r="EE9" i="5"/>
  <c r="EC9" i="5"/>
  <c r="EA9" i="5"/>
  <c r="DY9" i="5"/>
  <c r="DW9" i="5"/>
  <c r="DU9" i="5"/>
  <c r="DS9" i="5"/>
  <c r="DQ9" i="5"/>
  <c r="DO9" i="5"/>
  <c r="DM9" i="5"/>
  <c r="DK9" i="5"/>
  <c r="DI9" i="5"/>
  <c r="DG9" i="5"/>
  <c r="DE9" i="5"/>
  <c r="DC9" i="5"/>
  <c r="DA9" i="5"/>
  <c r="CY9" i="5"/>
  <c r="CW9" i="5"/>
  <c r="CU9" i="5"/>
  <c r="CS9" i="5"/>
  <c r="CQ9" i="5"/>
  <c r="CO9" i="5"/>
  <c r="CM9" i="5"/>
  <c r="CK9" i="5"/>
  <c r="CI9" i="5"/>
  <c r="CG9" i="5"/>
  <c r="CE9" i="5"/>
  <c r="CC9" i="5"/>
  <c r="CA9" i="5"/>
  <c r="BY9" i="5"/>
  <c r="BW9" i="5"/>
  <c r="BU9" i="5"/>
  <c r="BS9" i="5"/>
  <c r="BQ9" i="5"/>
  <c r="BO9" i="5"/>
  <c r="BM9" i="5"/>
  <c r="BK9" i="5"/>
  <c r="BI9" i="5"/>
  <c r="BG9" i="5"/>
  <c r="BE9" i="5"/>
  <c r="BA9" i="5"/>
  <c r="AY9" i="5"/>
  <c r="AW9" i="5"/>
  <c r="AU9" i="5"/>
  <c r="AS9" i="5"/>
  <c r="AQ9" i="5"/>
  <c r="AO9" i="5"/>
  <c r="AM9" i="5"/>
  <c r="AK9" i="5"/>
  <c r="AI9" i="5"/>
  <c r="AG9" i="5"/>
  <c r="AE9" i="5"/>
  <c r="AC9" i="5"/>
  <c r="AA9" i="5"/>
  <c r="Y9" i="5"/>
  <c r="W9" i="5"/>
  <c r="U9" i="5"/>
  <c r="S9" i="5"/>
  <c r="Q9" i="5"/>
  <c r="O9" i="5"/>
  <c r="EK8" i="5"/>
  <c r="EI8" i="5"/>
  <c r="EG8" i="5"/>
  <c r="EE8" i="5"/>
  <c r="EC8" i="5"/>
  <c r="EA8" i="5"/>
  <c r="DY8" i="5"/>
  <c r="DW8" i="5"/>
  <c r="DU8" i="5"/>
  <c r="DS8" i="5"/>
  <c r="DQ8" i="5"/>
  <c r="DO8" i="5"/>
  <c r="DM8" i="5"/>
  <c r="DK8" i="5"/>
  <c r="DI8" i="5"/>
  <c r="DG8" i="5"/>
  <c r="DE8" i="5"/>
  <c r="DC8" i="5"/>
  <c r="DA8" i="5"/>
  <c r="CY8" i="5"/>
  <c r="CW8" i="5"/>
  <c r="CU8" i="5"/>
  <c r="CS8" i="5"/>
  <c r="CQ8" i="5"/>
  <c r="CO8" i="5"/>
  <c r="CM8" i="5"/>
  <c r="CK8" i="5"/>
  <c r="CI8" i="5"/>
  <c r="CG8" i="5"/>
  <c r="CE8" i="5"/>
  <c r="CC8" i="5"/>
  <c r="CA8" i="5"/>
  <c r="BY8" i="5"/>
  <c r="BW8" i="5"/>
  <c r="BU8" i="5"/>
  <c r="BS8" i="5"/>
  <c r="BQ8" i="5"/>
  <c r="BO8" i="5"/>
  <c r="BM8" i="5"/>
  <c r="BK8" i="5"/>
  <c r="BI8" i="5"/>
  <c r="BG8" i="5"/>
  <c r="BE8" i="5"/>
  <c r="BC8" i="5"/>
  <c r="BA8" i="5"/>
  <c r="AY8" i="5"/>
  <c r="AW8" i="5"/>
  <c r="AU8" i="5"/>
  <c r="AS8" i="5"/>
  <c r="AQ8" i="5"/>
  <c r="AO8" i="5"/>
  <c r="AM8" i="5"/>
  <c r="AK8" i="5"/>
  <c r="AI8" i="5"/>
  <c r="AG8" i="5"/>
  <c r="AE8" i="5"/>
  <c r="AC8" i="5"/>
  <c r="AA8" i="5"/>
  <c r="Y8" i="5"/>
  <c r="W8" i="5"/>
  <c r="U8" i="5"/>
  <c r="S8" i="5"/>
  <c r="Q8" i="5"/>
  <c r="O8" i="5"/>
  <c r="EK7" i="5"/>
  <c r="EI7" i="5"/>
  <c r="EG7" i="5"/>
  <c r="EE7" i="5"/>
  <c r="EC7" i="5"/>
  <c r="EA7" i="5"/>
  <c r="DY7" i="5"/>
  <c r="DW7" i="5"/>
  <c r="DU7" i="5"/>
  <c r="DS7" i="5"/>
  <c r="DQ7" i="5"/>
  <c r="DO7" i="5"/>
  <c r="DM7" i="5"/>
  <c r="DK7" i="5"/>
  <c r="DI7" i="5"/>
  <c r="DG7" i="5"/>
  <c r="DE7" i="5"/>
  <c r="DC7" i="5"/>
  <c r="DA7" i="5"/>
  <c r="CY7" i="5"/>
  <c r="CU7" i="5"/>
  <c r="CS7" i="5"/>
  <c r="CQ7" i="5"/>
  <c r="CO7" i="5"/>
  <c r="CM7" i="5"/>
  <c r="CK7" i="5"/>
  <c r="CI7" i="5"/>
  <c r="CG7" i="5"/>
  <c r="CE7" i="5"/>
  <c r="CC7" i="5"/>
  <c r="CA7" i="5"/>
  <c r="BY7" i="5"/>
  <c r="BW7" i="5"/>
  <c r="BU7" i="5"/>
  <c r="BS7" i="5"/>
  <c r="BQ7" i="5"/>
  <c r="BO7" i="5"/>
  <c r="BM7" i="5"/>
  <c r="BK7" i="5"/>
  <c r="BI7" i="5"/>
  <c r="BG7" i="5"/>
  <c r="BE7" i="5"/>
  <c r="BC7" i="5"/>
  <c r="BA7" i="5"/>
  <c r="AY7" i="5"/>
  <c r="AW7" i="5"/>
  <c r="AU7" i="5"/>
  <c r="AS7" i="5"/>
  <c r="AQ7" i="5"/>
  <c r="AO7" i="5"/>
  <c r="AM7" i="5"/>
  <c r="AK7" i="5"/>
  <c r="AI7" i="5"/>
  <c r="AG7" i="5"/>
  <c r="AE7" i="5"/>
  <c r="AC7" i="5"/>
  <c r="AA7" i="5"/>
  <c r="Y7" i="5"/>
  <c r="W7" i="5"/>
  <c r="U7" i="5"/>
  <c r="S7" i="5"/>
  <c r="Q7" i="5"/>
  <c r="O7" i="5"/>
  <c r="EK6" i="5"/>
  <c r="EI6" i="5"/>
  <c r="EG6" i="5"/>
  <c r="EE6" i="5"/>
  <c r="EC6" i="5"/>
  <c r="EA6" i="5"/>
  <c r="DY6" i="5"/>
  <c r="DW6" i="5"/>
  <c r="DU6" i="5"/>
  <c r="DS6" i="5"/>
  <c r="DQ6" i="5"/>
  <c r="DO6" i="5"/>
  <c r="DM6" i="5"/>
  <c r="DK6" i="5"/>
  <c r="DI6" i="5"/>
  <c r="DG6" i="5"/>
  <c r="DE6" i="5"/>
  <c r="DC6" i="5"/>
  <c r="DA6" i="5"/>
  <c r="CY6" i="5"/>
  <c r="CW6" i="5"/>
  <c r="CU6" i="5"/>
  <c r="CS6" i="5"/>
  <c r="CQ6" i="5"/>
  <c r="CO6" i="5"/>
  <c r="CM6" i="5"/>
  <c r="CK6" i="5"/>
  <c r="CI6" i="5"/>
  <c r="CG6" i="5"/>
  <c r="CE6" i="5"/>
  <c r="CC6" i="5"/>
  <c r="CA6" i="5"/>
  <c r="BY6" i="5"/>
  <c r="BW6" i="5"/>
  <c r="BU6" i="5"/>
  <c r="BS6" i="5"/>
  <c r="BQ6" i="5"/>
  <c r="BO6" i="5"/>
  <c r="BM6" i="5"/>
  <c r="BK6" i="5"/>
  <c r="BI6" i="5"/>
  <c r="BG6" i="5"/>
  <c r="BE6" i="5"/>
  <c r="BC6" i="5"/>
  <c r="BA6" i="5"/>
  <c r="AY6" i="5"/>
  <c r="AW6" i="5"/>
  <c r="AU6" i="5"/>
  <c r="AS6" i="5"/>
  <c r="AQ6" i="5"/>
  <c r="AO6" i="5"/>
  <c r="AM6" i="5"/>
  <c r="AK6" i="5"/>
  <c r="AI6" i="5"/>
  <c r="AG6" i="5"/>
  <c r="AE6" i="5"/>
  <c r="AC6" i="5"/>
  <c r="AA6" i="5"/>
  <c r="Y6" i="5"/>
  <c r="W6" i="5"/>
  <c r="U6" i="5"/>
  <c r="S6" i="5"/>
  <c r="Q6" i="5"/>
  <c r="O6" i="5"/>
  <c r="EK5" i="5"/>
  <c r="EI5" i="5"/>
  <c r="EG5" i="5"/>
  <c r="EE5" i="5"/>
  <c r="EC5" i="5"/>
  <c r="EA5" i="5"/>
  <c r="DY5" i="5"/>
  <c r="DW5" i="5"/>
  <c r="DU5" i="5"/>
  <c r="DS5" i="5"/>
  <c r="DQ5" i="5"/>
  <c r="DO5" i="5"/>
  <c r="DM5" i="5"/>
  <c r="DK5" i="5"/>
  <c r="DI5" i="5"/>
  <c r="DG5" i="5"/>
  <c r="DE5" i="5"/>
  <c r="DC5" i="5"/>
  <c r="DA5" i="5"/>
  <c r="CY5" i="5"/>
  <c r="CW5" i="5"/>
  <c r="CS5" i="5"/>
  <c r="CQ5" i="5"/>
  <c r="CO5" i="5"/>
  <c r="CM5" i="5"/>
  <c r="CK5" i="5"/>
  <c r="CI5" i="5"/>
  <c r="CG5" i="5"/>
  <c r="CE5" i="5"/>
  <c r="CC5" i="5"/>
  <c r="CA5" i="5"/>
  <c r="BY5" i="5"/>
  <c r="BW5" i="5"/>
  <c r="BU5" i="5"/>
  <c r="BS5" i="5"/>
  <c r="BQ5" i="5"/>
  <c r="BO5" i="5"/>
  <c r="BM5" i="5"/>
  <c r="BK5" i="5"/>
  <c r="BI5" i="5"/>
  <c r="BG5" i="5"/>
  <c r="BE5" i="5"/>
  <c r="BC5" i="5"/>
  <c r="BA5" i="5"/>
  <c r="AY5" i="5"/>
  <c r="AW5" i="5"/>
  <c r="AU5" i="5"/>
  <c r="AS5" i="5"/>
  <c r="AQ5" i="5"/>
  <c r="AO5" i="5"/>
  <c r="AM5" i="5"/>
  <c r="AK5" i="5"/>
  <c r="AI5" i="5"/>
  <c r="AG5" i="5"/>
  <c r="AE5" i="5"/>
  <c r="AC5" i="5"/>
  <c r="AA5" i="5"/>
  <c r="Y5" i="5"/>
  <c r="U5" i="5"/>
  <c r="S5" i="5"/>
  <c r="Q5" i="5"/>
  <c r="EK4" i="5"/>
  <c r="EI4" i="5"/>
  <c r="EG4" i="5"/>
  <c r="EE4" i="5"/>
  <c r="EC4" i="5"/>
  <c r="EA4" i="5"/>
  <c r="DY4" i="5"/>
  <c r="DW4" i="5"/>
  <c r="DU4" i="5"/>
  <c r="DS4" i="5"/>
  <c r="DQ4" i="5"/>
  <c r="DO4" i="5"/>
  <c r="DM4" i="5"/>
  <c r="DK4" i="5"/>
  <c r="DI4" i="5"/>
  <c r="DG4" i="5"/>
  <c r="DE4" i="5"/>
  <c r="DC4" i="5"/>
  <c r="DA4" i="5"/>
  <c r="CY4" i="5"/>
  <c r="CW4" i="5"/>
  <c r="CU4" i="5"/>
  <c r="CS4" i="5"/>
  <c r="CQ4" i="5"/>
  <c r="CO4" i="5"/>
  <c r="CM4" i="5"/>
  <c r="CK4" i="5"/>
  <c r="CI4" i="5"/>
  <c r="CG4" i="5"/>
  <c r="CE4" i="5"/>
  <c r="CC4" i="5"/>
  <c r="CA4" i="5"/>
  <c r="BY4" i="5"/>
  <c r="BW4" i="5"/>
  <c r="BU4" i="5"/>
  <c r="BS4" i="5"/>
  <c r="BQ4" i="5"/>
  <c r="BO4" i="5"/>
  <c r="BM4" i="5"/>
  <c r="BK4" i="5"/>
  <c r="BI4" i="5"/>
  <c r="BG4" i="5"/>
  <c r="BE4" i="5"/>
  <c r="BC4" i="5"/>
  <c r="BA4" i="5"/>
  <c r="AY4" i="5"/>
  <c r="AW4" i="5"/>
  <c r="AU4" i="5"/>
  <c r="AQ4" i="5"/>
  <c r="AO4" i="5"/>
  <c r="AM4" i="5"/>
  <c r="AK4" i="5"/>
  <c r="AI4" i="5"/>
  <c r="AG4" i="5"/>
  <c r="AE4" i="5"/>
  <c r="AC4" i="5"/>
  <c r="Y4" i="5"/>
  <c r="W4" i="5"/>
  <c r="U4" i="5"/>
  <c r="S4" i="5"/>
  <c r="Q4" i="5"/>
  <c r="O4" i="5"/>
  <c r="EK3" i="5"/>
  <c r="EI3" i="5"/>
  <c r="EG3" i="5"/>
  <c r="EE3" i="5"/>
  <c r="EC3" i="5"/>
  <c r="EA3" i="5"/>
  <c r="DY3" i="5"/>
  <c r="DW3" i="5"/>
  <c r="DU3" i="5"/>
  <c r="DS3" i="5"/>
  <c r="DQ3" i="5"/>
  <c r="DO3" i="5"/>
  <c r="DM3" i="5"/>
  <c r="DK3" i="5"/>
  <c r="DI3" i="5"/>
  <c r="DG3" i="5"/>
  <c r="DE3" i="5"/>
  <c r="DC3" i="5"/>
  <c r="DA3" i="5"/>
  <c r="CY3" i="5"/>
  <c r="CW3" i="5"/>
  <c r="CU3" i="5"/>
  <c r="CS3" i="5"/>
  <c r="CQ3" i="5"/>
  <c r="CO3" i="5"/>
  <c r="CM3" i="5"/>
  <c r="CK3" i="5"/>
  <c r="CI3" i="5"/>
  <c r="CG3" i="5"/>
  <c r="CE3" i="5"/>
  <c r="CC3" i="5"/>
  <c r="CA3" i="5"/>
  <c r="BY3" i="5"/>
  <c r="BW3" i="5"/>
  <c r="BU3" i="5"/>
  <c r="BS3" i="5"/>
  <c r="BQ3" i="5"/>
  <c r="BO3" i="5"/>
  <c r="BM3" i="5"/>
  <c r="BK3" i="5"/>
  <c r="BI3" i="5"/>
  <c r="BG3" i="5"/>
  <c r="BE3" i="5"/>
  <c r="BC3" i="5"/>
  <c r="BA3" i="5"/>
  <c r="AY3" i="5"/>
  <c r="AW3" i="5"/>
  <c r="AU3" i="5"/>
  <c r="AS3" i="5"/>
  <c r="AQ3" i="5"/>
  <c r="AO3" i="5"/>
  <c r="AM3" i="5"/>
  <c r="AK3" i="5"/>
  <c r="AI3" i="5"/>
  <c r="AG3" i="5"/>
  <c r="AE3" i="5"/>
  <c r="AC3" i="5"/>
  <c r="AA3" i="5"/>
  <c r="Y3" i="5"/>
  <c r="W3" i="5"/>
  <c r="U3" i="5"/>
  <c r="S3" i="5"/>
  <c r="Q3" i="5"/>
  <c r="O3" i="5"/>
  <c r="K22" i="5"/>
  <c r="I22" i="5"/>
  <c r="G22" i="5"/>
  <c r="C22" i="5"/>
  <c r="M21" i="5"/>
  <c r="K21" i="5"/>
  <c r="I21" i="5"/>
  <c r="G21" i="5"/>
  <c r="C21" i="5"/>
  <c r="M20" i="5"/>
  <c r="K20" i="5"/>
  <c r="G20" i="5"/>
  <c r="C20" i="5"/>
  <c r="I19" i="5"/>
  <c r="G19" i="5"/>
  <c r="C19" i="5"/>
  <c r="K18" i="5"/>
  <c r="I18" i="5"/>
  <c r="G18" i="5"/>
  <c r="C18" i="5"/>
  <c r="K17" i="5"/>
  <c r="G17" i="5"/>
  <c r="C17" i="5"/>
  <c r="M16" i="5"/>
  <c r="K16" i="5"/>
  <c r="I16" i="5"/>
  <c r="G16" i="5"/>
  <c r="C16" i="5"/>
  <c r="M15" i="5"/>
  <c r="K15" i="5"/>
  <c r="I15" i="5"/>
  <c r="G15" i="5"/>
  <c r="C15" i="5"/>
  <c r="M14" i="5"/>
  <c r="K14" i="5"/>
  <c r="I14" i="5"/>
  <c r="G14" i="5"/>
  <c r="C14" i="5"/>
  <c r="M13" i="5"/>
  <c r="K13" i="5"/>
  <c r="I13" i="5"/>
  <c r="G13" i="5"/>
  <c r="M12" i="5"/>
  <c r="K12" i="5"/>
  <c r="G12" i="5"/>
  <c r="C12" i="5"/>
  <c r="M11" i="5"/>
  <c r="K11" i="5"/>
  <c r="I11" i="5"/>
  <c r="G11" i="5"/>
  <c r="C11" i="5"/>
  <c r="M10" i="5"/>
  <c r="K10" i="5"/>
  <c r="I10" i="5"/>
  <c r="G10" i="5"/>
  <c r="C10" i="5"/>
  <c r="M9" i="5"/>
  <c r="K9" i="5"/>
  <c r="I9" i="5"/>
  <c r="G9" i="5"/>
  <c r="C9" i="5"/>
  <c r="M8" i="5"/>
  <c r="K8" i="5"/>
  <c r="I8" i="5"/>
  <c r="G8" i="5"/>
  <c r="C8" i="5"/>
  <c r="M7" i="5"/>
  <c r="K7" i="5"/>
  <c r="I7" i="5"/>
  <c r="G7" i="5"/>
  <c r="C7" i="5"/>
  <c r="M6" i="5"/>
  <c r="K6" i="5"/>
  <c r="G6" i="5"/>
  <c r="C6" i="5"/>
  <c r="M5" i="5"/>
  <c r="K5" i="5"/>
  <c r="I5" i="5"/>
  <c r="G5" i="5"/>
  <c r="C5" i="5"/>
  <c r="M4" i="5"/>
  <c r="K4" i="5"/>
  <c r="I4" i="5"/>
  <c r="G4" i="5"/>
  <c r="C4" i="5"/>
  <c r="K3" i="5"/>
  <c r="E3" i="5"/>
  <c r="C3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<sst xmlns="http://schemas.openxmlformats.org/spreadsheetml/2006/main" count="3454" uniqueCount="2792">
  <si>
    <t>ァ</t>
    <phoneticPr fontId="1"/>
  </si>
  <si>
    <t>ア</t>
    <phoneticPr fontId="1"/>
  </si>
  <si>
    <t>ィ</t>
    <phoneticPr fontId="1"/>
  </si>
  <si>
    <t>イ</t>
    <phoneticPr fontId="1"/>
  </si>
  <si>
    <t>ゥ</t>
    <phoneticPr fontId="1"/>
  </si>
  <si>
    <t>ウ</t>
    <phoneticPr fontId="1"/>
  </si>
  <si>
    <t>ェ</t>
    <phoneticPr fontId="1"/>
  </si>
  <si>
    <t>エ</t>
    <phoneticPr fontId="1"/>
  </si>
  <si>
    <t>ォ</t>
    <phoneticPr fontId="1"/>
  </si>
  <si>
    <t>オ</t>
    <phoneticPr fontId="1"/>
  </si>
  <si>
    <t>カ</t>
    <phoneticPr fontId="1"/>
  </si>
  <si>
    <t>ガ</t>
    <phoneticPr fontId="1"/>
  </si>
  <si>
    <t>キ</t>
    <phoneticPr fontId="1"/>
  </si>
  <si>
    <t>ギ</t>
    <phoneticPr fontId="1"/>
  </si>
  <si>
    <t>ク</t>
    <phoneticPr fontId="1"/>
  </si>
  <si>
    <t>グ</t>
    <phoneticPr fontId="1"/>
  </si>
  <si>
    <t>ケ</t>
    <phoneticPr fontId="1"/>
  </si>
  <si>
    <t>ゲ</t>
    <phoneticPr fontId="1"/>
  </si>
  <si>
    <t>コ</t>
    <phoneticPr fontId="1"/>
  </si>
  <si>
    <t>ゴ</t>
    <phoneticPr fontId="1"/>
  </si>
  <si>
    <t>サ</t>
    <phoneticPr fontId="1"/>
  </si>
  <si>
    <t>ザ</t>
    <phoneticPr fontId="1"/>
  </si>
  <si>
    <t>シ</t>
    <phoneticPr fontId="1"/>
  </si>
  <si>
    <t>ジ</t>
    <phoneticPr fontId="1"/>
  </si>
  <si>
    <t>ス</t>
    <phoneticPr fontId="1"/>
  </si>
  <si>
    <t>ズ</t>
    <phoneticPr fontId="1"/>
  </si>
  <si>
    <t>セ</t>
    <phoneticPr fontId="1"/>
  </si>
  <si>
    <t>ゼ</t>
    <phoneticPr fontId="1"/>
  </si>
  <si>
    <t>ソ</t>
    <phoneticPr fontId="1"/>
  </si>
  <si>
    <t>ゾ</t>
    <phoneticPr fontId="1"/>
  </si>
  <si>
    <t>タ</t>
    <phoneticPr fontId="1"/>
  </si>
  <si>
    <t>ダ</t>
    <phoneticPr fontId="1"/>
  </si>
  <si>
    <t>チ</t>
    <phoneticPr fontId="1"/>
  </si>
  <si>
    <t>ヂ</t>
    <phoneticPr fontId="1"/>
  </si>
  <si>
    <t>ッ</t>
    <phoneticPr fontId="1"/>
  </si>
  <si>
    <t>ツ</t>
    <phoneticPr fontId="1"/>
  </si>
  <si>
    <t>ヅ</t>
    <phoneticPr fontId="1"/>
  </si>
  <si>
    <t>テ</t>
    <phoneticPr fontId="1"/>
  </si>
  <si>
    <t>デ</t>
    <phoneticPr fontId="1"/>
  </si>
  <si>
    <t>ト</t>
    <phoneticPr fontId="1"/>
  </si>
  <si>
    <t>ド</t>
    <phoneticPr fontId="1"/>
  </si>
  <si>
    <t>ナ</t>
    <phoneticPr fontId="1"/>
  </si>
  <si>
    <t>ニ</t>
    <phoneticPr fontId="1"/>
  </si>
  <si>
    <t>ヌ</t>
    <phoneticPr fontId="1"/>
  </si>
  <si>
    <t>ネ</t>
    <phoneticPr fontId="1"/>
  </si>
  <si>
    <t>ノ</t>
    <phoneticPr fontId="1"/>
  </si>
  <si>
    <t>ハ</t>
    <phoneticPr fontId="1"/>
  </si>
  <si>
    <t>バ</t>
    <phoneticPr fontId="1"/>
  </si>
  <si>
    <t>パ</t>
    <phoneticPr fontId="1"/>
  </si>
  <si>
    <t>ヒ</t>
    <phoneticPr fontId="1"/>
  </si>
  <si>
    <t>ビ</t>
    <phoneticPr fontId="1"/>
  </si>
  <si>
    <t>ピ</t>
    <phoneticPr fontId="1"/>
  </si>
  <si>
    <t>フ</t>
    <phoneticPr fontId="1"/>
  </si>
  <si>
    <t>ブ</t>
    <phoneticPr fontId="1"/>
  </si>
  <si>
    <t>プ</t>
    <phoneticPr fontId="1"/>
  </si>
  <si>
    <t>ヘ</t>
    <phoneticPr fontId="1"/>
  </si>
  <si>
    <t>ベ</t>
    <phoneticPr fontId="1"/>
  </si>
  <si>
    <t>ペ</t>
    <phoneticPr fontId="1"/>
  </si>
  <si>
    <t>ホ</t>
    <phoneticPr fontId="1"/>
  </si>
  <si>
    <t>ボ</t>
    <phoneticPr fontId="1"/>
  </si>
  <si>
    <t>ポ</t>
    <phoneticPr fontId="1"/>
  </si>
  <si>
    <t>マ</t>
    <phoneticPr fontId="1"/>
  </si>
  <si>
    <t>ミ</t>
    <phoneticPr fontId="1"/>
  </si>
  <si>
    <t>ム</t>
    <phoneticPr fontId="1"/>
  </si>
  <si>
    <t>メ</t>
    <phoneticPr fontId="1"/>
  </si>
  <si>
    <t>モ</t>
    <phoneticPr fontId="1"/>
  </si>
  <si>
    <t>ャ</t>
    <phoneticPr fontId="1"/>
  </si>
  <si>
    <t>ヤ</t>
    <phoneticPr fontId="1"/>
  </si>
  <si>
    <t>ュ</t>
    <phoneticPr fontId="1"/>
  </si>
  <si>
    <t>ユ</t>
  </si>
  <si>
    <t>〇</t>
    <phoneticPr fontId="1"/>
  </si>
  <si>
    <t>Ａ</t>
    <phoneticPr fontId="1"/>
  </si>
  <si>
    <t>一</t>
  </si>
  <si>
    <t>且</t>
  </si>
  <si>
    <t>丨</t>
    <phoneticPr fontId="1"/>
  </si>
  <si>
    <t>乐</t>
    <phoneticPr fontId="1"/>
  </si>
  <si>
    <t>乤</t>
    <phoneticPr fontId="1"/>
  </si>
  <si>
    <t>く</t>
    <phoneticPr fontId="1"/>
  </si>
  <si>
    <t>乸</t>
    <phoneticPr fontId="1"/>
  </si>
  <si>
    <t>二</t>
    <phoneticPr fontId="1"/>
  </si>
  <si>
    <t>亠</t>
    <phoneticPr fontId="1"/>
  </si>
  <si>
    <t>ど</t>
  </si>
  <si>
    <t>亴</t>
    <phoneticPr fontId="1"/>
  </si>
  <si>
    <t>仈</t>
    <phoneticPr fontId="1"/>
  </si>
  <si>
    <t>仜</t>
    <phoneticPr fontId="1"/>
  </si>
  <si>
    <t>仰</t>
    <phoneticPr fontId="1"/>
  </si>
  <si>
    <t>伄</t>
    <phoneticPr fontId="1"/>
  </si>
  <si>
    <t>优</t>
    <phoneticPr fontId="1"/>
  </si>
  <si>
    <t>伬</t>
    <phoneticPr fontId="1"/>
  </si>
  <si>
    <t>佀</t>
    <phoneticPr fontId="1"/>
  </si>
  <si>
    <t>佔</t>
    <phoneticPr fontId="1"/>
  </si>
  <si>
    <t>佨</t>
    <phoneticPr fontId="1"/>
  </si>
  <si>
    <t>佼</t>
    <phoneticPr fontId="1"/>
  </si>
  <si>
    <t>侐</t>
    <phoneticPr fontId="1"/>
  </si>
  <si>
    <t>侤</t>
    <phoneticPr fontId="1"/>
  </si>
  <si>
    <t>侸</t>
    <phoneticPr fontId="1"/>
  </si>
  <si>
    <t>俌</t>
    <phoneticPr fontId="1"/>
  </si>
  <si>
    <t>俠</t>
    <phoneticPr fontId="1"/>
  </si>
  <si>
    <t>俴</t>
    <phoneticPr fontId="1"/>
  </si>
  <si>
    <t>倈</t>
    <phoneticPr fontId="1"/>
  </si>
  <si>
    <t>倜</t>
    <phoneticPr fontId="1"/>
  </si>
  <si>
    <t>倰</t>
    <phoneticPr fontId="1"/>
  </si>
  <si>
    <t>偄</t>
    <phoneticPr fontId="1"/>
  </si>
  <si>
    <t>偘</t>
    <phoneticPr fontId="1"/>
  </si>
  <si>
    <t>偬</t>
    <phoneticPr fontId="1"/>
  </si>
  <si>
    <t>傀</t>
    <phoneticPr fontId="1"/>
  </si>
  <si>
    <t>傔</t>
    <phoneticPr fontId="1"/>
  </si>
  <si>
    <t>储</t>
    <phoneticPr fontId="1"/>
  </si>
  <si>
    <t>傼</t>
    <phoneticPr fontId="1"/>
  </si>
  <si>
    <t>僐</t>
    <phoneticPr fontId="1"/>
  </si>
  <si>
    <t>僤</t>
    <phoneticPr fontId="1"/>
  </si>
  <si>
    <t>僸</t>
    <phoneticPr fontId="1"/>
  </si>
  <si>
    <t>儌</t>
    <phoneticPr fontId="1"/>
  </si>
  <si>
    <t>儠</t>
    <phoneticPr fontId="1"/>
  </si>
  <si>
    <t>儴</t>
    <phoneticPr fontId="1"/>
  </si>
  <si>
    <t>先</t>
    <phoneticPr fontId="1"/>
  </si>
  <si>
    <t>兜</t>
    <phoneticPr fontId="1"/>
  </si>
  <si>
    <t>兰</t>
    <phoneticPr fontId="1"/>
  </si>
  <si>
    <t>冄</t>
    <phoneticPr fontId="1"/>
  </si>
  <si>
    <t>冘</t>
    <phoneticPr fontId="1"/>
  </si>
  <si>
    <t>冬</t>
    <phoneticPr fontId="1"/>
  </si>
  <si>
    <t>净</t>
    <phoneticPr fontId="1"/>
  </si>
  <si>
    <t>凔</t>
    <phoneticPr fontId="1"/>
  </si>
  <si>
    <t>凨</t>
    <phoneticPr fontId="1"/>
  </si>
  <si>
    <t>凼</t>
    <phoneticPr fontId="1"/>
  </si>
  <si>
    <t>刐</t>
    <phoneticPr fontId="1"/>
  </si>
  <si>
    <t>判</t>
    <phoneticPr fontId="1"/>
  </si>
  <si>
    <t>券</t>
    <phoneticPr fontId="1"/>
  </si>
  <si>
    <t>剌</t>
    <phoneticPr fontId="1"/>
  </si>
  <si>
    <t>剠</t>
    <phoneticPr fontId="1"/>
  </si>
  <si>
    <t>剴</t>
    <phoneticPr fontId="1"/>
  </si>
  <si>
    <t>劈</t>
    <phoneticPr fontId="1"/>
  </si>
  <si>
    <t>劜</t>
    <phoneticPr fontId="1"/>
  </si>
  <si>
    <t>劰</t>
    <phoneticPr fontId="1"/>
  </si>
  <si>
    <t>勄</t>
    <phoneticPr fontId="1"/>
  </si>
  <si>
    <t>勘</t>
    <phoneticPr fontId="1"/>
  </si>
  <si>
    <t>勬</t>
    <phoneticPr fontId="1"/>
  </si>
  <si>
    <t>匀</t>
    <phoneticPr fontId="1"/>
  </si>
  <si>
    <t>匔</t>
    <phoneticPr fontId="1"/>
  </si>
  <si>
    <t>匨</t>
    <phoneticPr fontId="1"/>
  </si>
  <si>
    <t>匼</t>
    <phoneticPr fontId="1"/>
  </si>
  <si>
    <t>卐</t>
    <phoneticPr fontId="1"/>
  </si>
  <si>
    <t>卤</t>
    <phoneticPr fontId="1"/>
  </si>
  <si>
    <t>Ｂ</t>
    <phoneticPr fontId="1"/>
  </si>
  <si>
    <t>丁</t>
  </si>
  <si>
    <t>丕</t>
    <phoneticPr fontId="1"/>
  </si>
  <si>
    <t>丩</t>
    <phoneticPr fontId="1"/>
  </si>
  <si>
    <t>丽</t>
    <phoneticPr fontId="1"/>
  </si>
  <si>
    <t>乑</t>
    <phoneticPr fontId="1"/>
  </si>
  <si>
    <t>乥</t>
    <phoneticPr fontId="1"/>
  </si>
  <si>
    <t>乹</t>
    <phoneticPr fontId="1"/>
  </si>
  <si>
    <t>亍</t>
    <phoneticPr fontId="1"/>
  </si>
  <si>
    <t>亡</t>
    <phoneticPr fontId="1"/>
  </si>
  <si>
    <t>亵</t>
    <phoneticPr fontId="1"/>
  </si>
  <si>
    <t>仉</t>
    <phoneticPr fontId="1"/>
  </si>
  <si>
    <t>仝</t>
    <phoneticPr fontId="1"/>
  </si>
  <si>
    <t>仱</t>
    <phoneticPr fontId="1"/>
  </si>
  <si>
    <t>伅</t>
    <phoneticPr fontId="1"/>
  </si>
  <si>
    <t>伙</t>
    <phoneticPr fontId="1"/>
  </si>
  <si>
    <t>伭</t>
    <phoneticPr fontId="1"/>
  </si>
  <si>
    <t>佁</t>
    <phoneticPr fontId="1"/>
  </si>
  <si>
    <t>何</t>
    <phoneticPr fontId="1"/>
  </si>
  <si>
    <t>佩</t>
    <phoneticPr fontId="1"/>
  </si>
  <si>
    <t>佽</t>
    <phoneticPr fontId="1"/>
  </si>
  <si>
    <t>侑</t>
    <phoneticPr fontId="1"/>
  </si>
  <si>
    <t>侥</t>
    <phoneticPr fontId="1"/>
  </si>
  <si>
    <t>侹</t>
    <phoneticPr fontId="1"/>
  </si>
  <si>
    <t>俍</t>
    <phoneticPr fontId="1"/>
  </si>
  <si>
    <t>信</t>
    <phoneticPr fontId="1"/>
  </si>
  <si>
    <t>俵</t>
    <phoneticPr fontId="1"/>
  </si>
  <si>
    <t>倉</t>
    <phoneticPr fontId="1"/>
  </si>
  <si>
    <t>倝</t>
    <phoneticPr fontId="1"/>
  </si>
  <si>
    <t>倱</t>
    <phoneticPr fontId="1"/>
  </si>
  <si>
    <t>偅</t>
    <phoneticPr fontId="1"/>
  </si>
  <si>
    <t>偙</t>
    <phoneticPr fontId="1"/>
  </si>
  <si>
    <t>偭</t>
    <phoneticPr fontId="1"/>
  </si>
  <si>
    <t>傁</t>
    <phoneticPr fontId="1"/>
  </si>
  <si>
    <t>傕</t>
    <phoneticPr fontId="1"/>
  </si>
  <si>
    <t>傩</t>
    <phoneticPr fontId="1"/>
  </si>
  <si>
    <t>傽</t>
    <phoneticPr fontId="1"/>
  </si>
  <si>
    <t>僑</t>
    <phoneticPr fontId="1"/>
  </si>
  <si>
    <t>僥</t>
    <phoneticPr fontId="1"/>
  </si>
  <si>
    <t>價</t>
    <phoneticPr fontId="1"/>
  </si>
  <si>
    <t>儍</t>
    <phoneticPr fontId="1"/>
  </si>
  <si>
    <t>儡</t>
    <phoneticPr fontId="1"/>
  </si>
  <si>
    <t>儵</t>
    <phoneticPr fontId="1"/>
  </si>
  <si>
    <t>光</t>
    <phoneticPr fontId="1"/>
  </si>
  <si>
    <t>兝</t>
    <phoneticPr fontId="1"/>
  </si>
  <si>
    <t>共</t>
    <phoneticPr fontId="1"/>
  </si>
  <si>
    <t>内</t>
    <phoneticPr fontId="1"/>
  </si>
  <si>
    <t>写</t>
    <phoneticPr fontId="1"/>
  </si>
  <si>
    <t>冭</t>
    <phoneticPr fontId="1"/>
  </si>
  <si>
    <t>凁</t>
    <phoneticPr fontId="1"/>
  </si>
  <si>
    <t>凕</t>
    <phoneticPr fontId="1"/>
  </si>
  <si>
    <t>凩</t>
    <phoneticPr fontId="1"/>
  </si>
  <si>
    <t>函</t>
    <phoneticPr fontId="1"/>
  </si>
  <si>
    <t>刑</t>
    <phoneticPr fontId="1"/>
  </si>
  <si>
    <t>別</t>
    <phoneticPr fontId="1"/>
  </si>
  <si>
    <t>刹</t>
    <phoneticPr fontId="1"/>
  </si>
  <si>
    <t>前</t>
    <phoneticPr fontId="1"/>
  </si>
  <si>
    <t>剡</t>
    <phoneticPr fontId="1"/>
  </si>
  <si>
    <t>創</t>
    <phoneticPr fontId="1"/>
  </si>
  <si>
    <t>劉</t>
    <phoneticPr fontId="1"/>
  </si>
  <si>
    <t>劝</t>
    <phoneticPr fontId="1"/>
  </si>
  <si>
    <t>励</t>
    <phoneticPr fontId="1"/>
  </si>
  <si>
    <t>勅</t>
    <phoneticPr fontId="1"/>
  </si>
  <si>
    <t>務</t>
    <phoneticPr fontId="1"/>
  </si>
  <si>
    <t>勭</t>
    <phoneticPr fontId="1"/>
  </si>
  <si>
    <t>匁</t>
    <phoneticPr fontId="1"/>
  </si>
  <si>
    <t>匕</t>
    <phoneticPr fontId="1"/>
  </si>
  <si>
    <t>匩</t>
    <phoneticPr fontId="1"/>
  </si>
  <si>
    <t>匽</t>
    <phoneticPr fontId="1"/>
  </si>
  <si>
    <t>卑</t>
    <phoneticPr fontId="1"/>
  </si>
  <si>
    <t>卥</t>
    <phoneticPr fontId="1"/>
  </si>
  <si>
    <t>Ｃ</t>
    <phoneticPr fontId="1"/>
  </si>
  <si>
    <t>丂</t>
    <phoneticPr fontId="1"/>
  </si>
  <si>
    <t>世</t>
  </si>
  <si>
    <t>个</t>
    <phoneticPr fontId="1"/>
  </si>
  <si>
    <t>举</t>
    <phoneticPr fontId="1"/>
  </si>
  <si>
    <t>乒</t>
    <phoneticPr fontId="1"/>
  </si>
  <si>
    <t>书</t>
    <phoneticPr fontId="1"/>
  </si>
  <si>
    <t>乺</t>
    <phoneticPr fontId="1"/>
  </si>
  <si>
    <t>于</t>
    <phoneticPr fontId="1"/>
  </si>
  <si>
    <t>亢</t>
    <phoneticPr fontId="1"/>
  </si>
  <si>
    <t>亶</t>
    <phoneticPr fontId="1"/>
  </si>
  <si>
    <t>今</t>
    <phoneticPr fontId="1"/>
  </si>
  <si>
    <t>仞</t>
    <phoneticPr fontId="1"/>
  </si>
  <si>
    <t>仲</t>
    <phoneticPr fontId="1"/>
  </si>
  <si>
    <t>伆</t>
    <phoneticPr fontId="1"/>
  </si>
  <si>
    <t>会</t>
    <phoneticPr fontId="1"/>
  </si>
  <si>
    <t>伮</t>
    <phoneticPr fontId="1"/>
  </si>
  <si>
    <t>佂</t>
    <phoneticPr fontId="1"/>
  </si>
  <si>
    <t>佖</t>
    <phoneticPr fontId="1"/>
  </si>
  <si>
    <t>佪</t>
    <phoneticPr fontId="1"/>
  </si>
  <si>
    <t>佾</t>
    <phoneticPr fontId="1"/>
  </si>
  <si>
    <t>侒</t>
    <phoneticPr fontId="1"/>
  </si>
  <si>
    <t>侦</t>
    <phoneticPr fontId="1"/>
  </si>
  <si>
    <t>侺</t>
    <phoneticPr fontId="1"/>
  </si>
  <si>
    <t>俎</t>
    <phoneticPr fontId="1"/>
  </si>
  <si>
    <t>俢</t>
    <phoneticPr fontId="1"/>
  </si>
  <si>
    <t>俶</t>
    <phoneticPr fontId="1"/>
  </si>
  <si>
    <t>倊</t>
    <phoneticPr fontId="1"/>
  </si>
  <si>
    <t>倞</t>
    <phoneticPr fontId="1"/>
  </si>
  <si>
    <t>倲</t>
    <phoneticPr fontId="1"/>
  </si>
  <si>
    <t>偆</t>
    <phoneticPr fontId="1"/>
  </si>
  <si>
    <t>做</t>
    <phoneticPr fontId="1"/>
  </si>
  <si>
    <t>偮</t>
    <phoneticPr fontId="1"/>
  </si>
  <si>
    <t>傂</t>
    <phoneticPr fontId="1"/>
  </si>
  <si>
    <t>傖</t>
    <phoneticPr fontId="1"/>
  </si>
  <si>
    <t>傪</t>
    <phoneticPr fontId="1"/>
  </si>
  <si>
    <t>傾</t>
    <phoneticPr fontId="1"/>
  </si>
  <si>
    <t>僒</t>
    <phoneticPr fontId="1"/>
  </si>
  <si>
    <t>僦</t>
    <phoneticPr fontId="1"/>
  </si>
  <si>
    <t>僺</t>
    <phoneticPr fontId="1"/>
  </si>
  <si>
    <t>儎</t>
    <phoneticPr fontId="1"/>
  </si>
  <si>
    <t>儢</t>
    <phoneticPr fontId="1"/>
  </si>
  <si>
    <t>儶</t>
    <phoneticPr fontId="1"/>
  </si>
  <si>
    <t>兊</t>
    <phoneticPr fontId="1"/>
  </si>
  <si>
    <t>兞</t>
    <phoneticPr fontId="1"/>
  </si>
  <si>
    <t>兲</t>
    <phoneticPr fontId="1"/>
  </si>
  <si>
    <t>円</t>
    <phoneticPr fontId="1"/>
  </si>
  <si>
    <t>冚</t>
    <phoneticPr fontId="1"/>
  </si>
  <si>
    <t>冮</t>
    <phoneticPr fontId="1"/>
  </si>
  <si>
    <t>凂</t>
    <phoneticPr fontId="1"/>
  </si>
  <si>
    <t>凖</t>
    <phoneticPr fontId="1"/>
  </si>
  <si>
    <t>凪</t>
    <phoneticPr fontId="1"/>
  </si>
  <si>
    <t>凾</t>
    <phoneticPr fontId="1"/>
  </si>
  <si>
    <t>划</t>
    <phoneticPr fontId="1"/>
  </si>
  <si>
    <t>刦</t>
    <phoneticPr fontId="1"/>
  </si>
  <si>
    <t>刺</t>
    <phoneticPr fontId="1"/>
  </si>
  <si>
    <t>剎</t>
    <phoneticPr fontId="1"/>
  </si>
  <si>
    <t>剢</t>
    <phoneticPr fontId="1"/>
  </si>
  <si>
    <t>剶</t>
    <phoneticPr fontId="1"/>
  </si>
  <si>
    <t>劊</t>
    <phoneticPr fontId="1"/>
  </si>
  <si>
    <t>办</t>
    <phoneticPr fontId="1"/>
  </si>
  <si>
    <t>劲</t>
    <phoneticPr fontId="1"/>
  </si>
  <si>
    <t>勆</t>
    <phoneticPr fontId="1"/>
  </si>
  <si>
    <t>勚</t>
    <phoneticPr fontId="1"/>
  </si>
  <si>
    <t>勮</t>
    <phoneticPr fontId="1"/>
  </si>
  <si>
    <t>匂</t>
    <phoneticPr fontId="1"/>
  </si>
  <si>
    <t>化</t>
    <phoneticPr fontId="1"/>
  </si>
  <si>
    <t>匪</t>
    <phoneticPr fontId="1"/>
  </si>
  <si>
    <t>匾</t>
    <phoneticPr fontId="1"/>
  </si>
  <si>
    <t>卒</t>
    <phoneticPr fontId="1"/>
  </si>
  <si>
    <t>卦</t>
    <phoneticPr fontId="1"/>
  </si>
  <si>
    <t>Ｄ</t>
    <phoneticPr fontId="1"/>
  </si>
  <si>
    <t>七</t>
    <phoneticPr fontId="1"/>
  </si>
  <si>
    <t>丗</t>
  </si>
  <si>
    <t>丫</t>
    <phoneticPr fontId="1"/>
  </si>
  <si>
    <t>丿</t>
    <phoneticPr fontId="1"/>
  </si>
  <si>
    <t>乓</t>
    <phoneticPr fontId="1"/>
  </si>
  <si>
    <t>乧</t>
    <phoneticPr fontId="1"/>
  </si>
  <si>
    <t>乻</t>
    <phoneticPr fontId="1"/>
  </si>
  <si>
    <t>亏</t>
    <phoneticPr fontId="1"/>
  </si>
  <si>
    <t>亣</t>
    <phoneticPr fontId="1"/>
  </si>
  <si>
    <t>亷</t>
    <phoneticPr fontId="1"/>
  </si>
  <si>
    <t>介</t>
    <phoneticPr fontId="1"/>
  </si>
  <si>
    <t>仟</t>
    <phoneticPr fontId="1"/>
  </si>
  <si>
    <t>仳</t>
    <phoneticPr fontId="1"/>
  </si>
  <si>
    <t>伇</t>
    <phoneticPr fontId="1"/>
  </si>
  <si>
    <t>伛</t>
    <phoneticPr fontId="1"/>
  </si>
  <si>
    <t>伯</t>
    <phoneticPr fontId="1"/>
  </si>
  <si>
    <t>佃</t>
    <phoneticPr fontId="1"/>
  </si>
  <si>
    <t>佗</t>
    <phoneticPr fontId="1"/>
  </si>
  <si>
    <t>佫</t>
    <phoneticPr fontId="1"/>
  </si>
  <si>
    <t>使</t>
    <phoneticPr fontId="1"/>
  </si>
  <si>
    <t>侓</t>
    <phoneticPr fontId="1"/>
  </si>
  <si>
    <t>侧</t>
    <phoneticPr fontId="1"/>
  </si>
  <si>
    <t>侻</t>
    <phoneticPr fontId="1"/>
  </si>
  <si>
    <t>俏</t>
    <phoneticPr fontId="1"/>
  </si>
  <si>
    <t>俣</t>
    <phoneticPr fontId="1"/>
  </si>
  <si>
    <t>俷</t>
    <phoneticPr fontId="1"/>
  </si>
  <si>
    <t>個</t>
    <phoneticPr fontId="1"/>
  </si>
  <si>
    <t>借</t>
    <phoneticPr fontId="1"/>
  </si>
  <si>
    <t>倳</t>
    <phoneticPr fontId="1"/>
  </si>
  <si>
    <t>假</t>
    <phoneticPr fontId="1"/>
  </si>
  <si>
    <t>偛</t>
    <phoneticPr fontId="1"/>
  </si>
  <si>
    <t>偯</t>
    <phoneticPr fontId="1"/>
  </si>
  <si>
    <t>傃</t>
    <phoneticPr fontId="1"/>
  </si>
  <si>
    <t>傗</t>
    <phoneticPr fontId="1"/>
  </si>
  <si>
    <t>傫</t>
    <phoneticPr fontId="1"/>
  </si>
  <si>
    <t>傿</t>
    <phoneticPr fontId="1"/>
  </si>
  <si>
    <t>僓</t>
    <phoneticPr fontId="1"/>
  </si>
  <si>
    <t>僧</t>
    <phoneticPr fontId="1"/>
  </si>
  <si>
    <t>僻</t>
    <phoneticPr fontId="1"/>
  </si>
  <si>
    <t>儏</t>
    <phoneticPr fontId="1"/>
  </si>
  <si>
    <t>儣</t>
    <phoneticPr fontId="1"/>
  </si>
  <si>
    <t>儷</t>
    <phoneticPr fontId="1"/>
  </si>
  <si>
    <t>克</t>
    <phoneticPr fontId="1"/>
  </si>
  <si>
    <t>兟</t>
    <phoneticPr fontId="1"/>
  </si>
  <si>
    <t>关</t>
    <phoneticPr fontId="1"/>
  </si>
  <si>
    <t>冇</t>
    <phoneticPr fontId="1"/>
  </si>
  <si>
    <t>军</t>
    <phoneticPr fontId="1"/>
  </si>
  <si>
    <t>冯</t>
    <phoneticPr fontId="1"/>
  </si>
  <si>
    <t>凃</t>
    <phoneticPr fontId="1"/>
  </si>
  <si>
    <t>凗</t>
    <phoneticPr fontId="1"/>
  </si>
  <si>
    <t>凫</t>
    <phoneticPr fontId="1"/>
  </si>
  <si>
    <t>凿</t>
    <phoneticPr fontId="1"/>
  </si>
  <si>
    <t>刓</t>
    <phoneticPr fontId="1"/>
  </si>
  <si>
    <t>刧</t>
    <phoneticPr fontId="1"/>
  </si>
  <si>
    <t>刻</t>
    <phoneticPr fontId="1"/>
  </si>
  <si>
    <t>剏</t>
    <phoneticPr fontId="1"/>
  </si>
  <si>
    <t>剣</t>
    <phoneticPr fontId="1"/>
  </si>
  <si>
    <t>剷</t>
    <phoneticPr fontId="1"/>
  </si>
  <si>
    <t>劋</t>
    <phoneticPr fontId="1"/>
  </si>
  <si>
    <t>功</t>
    <phoneticPr fontId="1"/>
  </si>
  <si>
    <t>劳</t>
    <phoneticPr fontId="1"/>
  </si>
  <si>
    <t>勇</t>
    <phoneticPr fontId="1"/>
  </si>
  <si>
    <t>勛</t>
    <phoneticPr fontId="1"/>
  </si>
  <si>
    <t>勯</t>
    <phoneticPr fontId="1"/>
  </si>
  <si>
    <t>匃</t>
    <phoneticPr fontId="1"/>
  </si>
  <si>
    <t>北</t>
    <phoneticPr fontId="1"/>
  </si>
  <si>
    <t>匫</t>
    <phoneticPr fontId="1"/>
  </si>
  <si>
    <t>匿</t>
    <phoneticPr fontId="1"/>
  </si>
  <si>
    <t>卓</t>
    <phoneticPr fontId="1"/>
  </si>
  <si>
    <t>卧</t>
    <phoneticPr fontId="1"/>
  </si>
  <si>
    <t>Ｅ</t>
    <phoneticPr fontId="1"/>
  </si>
  <si>
    <t>丄</t>
    <phoneticPr fontId="1"/>
  </si>
  <si>
    <t>丘</t>
  </si>
  <si>
    <t>丬</t>
    <phoneticPr fontId="1"/>
  </si>
  <si>
    <t>乀</t>
    <phoneticPr fontId="1"/>
  </si>
  <si>
    <t>乔</t>
    <phoneticPr fontId="1"/>
  </si>
  <si>
    <t>乨</t>
    <phoneticPr fontId="1"/>
  </si>
  <si>
    <t>乼</t>
    <phoneticPr fontId="1"/>
  </si>
  <si>
    <t>亐</t>
    <phoneticPr fontId="1"/>
  </si>
  <si>
    <t>交</t>
    <phoneticPr fontId="1"/>
  </si>
  <si>
    <t>亸</t>
    <phoneticPr fontId="1"/>
  </si>
  <si>
    <t>仌</t>
    <phoneticPr fontId="1"/>
  </si>
  <si>
    <t>仠</t>
    <phoneticPr fontId="1"/>
  </si>
  <si>
    <t>仴</t>
    <phoneticPr fontId="1"/>
  </si>
  <si>
    <t>伈</t>
    <phoneticPr fontId="1"/>
  </si>
  <si>
    <t>伜</t>
    <phoneticPr fontId="1"/>
  </si>
  <si>
    <t>估</t>
    <phoneticPr fontId="1"/>
  </si>
  <si>
    <t>佄</t>
    <phoneticPr fontId="1"/>
  </si>
  <si>
    <t>佘</t>
    <phoneticPr fontId="1"/>
  </si>
  <si>
    <t>佬</t>
    <phoneticPr fontId="1"/>
  </si>
  <si>
    <t>侀</t>
    <phoneticPr fontId="1"/>
  </si>
  <si>
    <t>侔</t>
    <phoneticPr fontId="1"/>
  </si>
  <si>
    <t>侨</t>
    <phoneticPr fontId="1"/>
  </si>
  <si>
    <t>侼</t>
    <phoneticPr fontId="1"/>
  </si>
  <si>
    <t>俐</t>
    <phoneticPr fontId="1"/>
  </si>
  <si>
    <t>俤</t>
    <phoneticPr fontId="1"/>
  </si>
  <si>
    <t>俸</t>
    <phoneticPr fontId="1"/>
  </si>
  <si>
    <t>倌</t>
    <phoneticPr fontId="1"/>
  </si>
  <si>
    <t>倠</t>
    <phoneticPr fontId="1"/>
  </si>
  <si>
    <t>倴</t>
    <phoneticPr fontId="1"/>
  </si>
  <si>
    <t>偈</t>
    <phoneticPr fontId="1"/>
  </si>
  <si>
    <t>停</t>
    <phoneticPr fontId="1"/>
  </si>
  <si>
    <t>偰</t>
    <phoneticPr fontId="1"/>
  </si>
  <si>
    <t>傄</t>
    <phoneticPr fontId="1"/>
  </si>
  <si>
    <t>傘</t>
    <phoneticPr fontId="1"/>
  </si>
  <si>
    <t>催</t>
    <phoneticPr fontId="1"/>
  </si>
  <si>
    <t>僀</t>
    <phoneticPr fontId="1"/>
  </si>
  <si>
    <t>僔</t>
    <phoneticPr fontId="1"/>
  </si>
  <si>
    <t>僨</t>
    <phoneticPr fontId="1"/>
  </si>
  <si>
    <t>僼</t>
    <phoneticPr fontId="1"/>
  </si>
  <si>
    <t>儐</t>
    <phoneticPr fontId="1"/>
  </si>
  <si>
    <t>儤</t>
    <phoneticPr fontId="1"/>
  </si>
  <si>
    <t>儸</t>
    <phoneticPr fontId="1"/>
  </si>
  <si>
    <t>兌</t>
    <phoneticPr fontId="1"/>
  </si>
  <si>
    <t>兠</t>
    <phoneticPr fontId="1"/>
  </si>
  <si>
    <t>兴</t>
    <phoneticPr fontId="1"/>
  </si>
  <si>
    <t>冈</t>
    <phoneticPr fontId="1"/>
  </si>
  <si>
    <t>农</t>
    <phoneticPr fontId="1"/>
  </si>
  <si>
    <t>冰</t>
    <phoneticPr fontId="1"/>
  </si>
  <si>
    <t>凄</t>
    <phoneticPr fontId="1"/>
  </si>
  <si>
    <t>凘</t>
    <phoneticPr fontId="1"/>
  </si>
  <si>
    <t>凬</t>
    <phoneticPr fontId="1"/>
  </si>
  <si>
    <t>刀</t>
    <phoneticPr fontId="1"/>
  </si>
  <si>
    <t>刔</t>
    <phoneticPr fontId="1"/>
  </si>
  <si>
    <t>刨</t>
    <phoneticPr fontId="1"/>
  </si>
  <si>
    <t>刼</t>
    <phoneticPr fontId="1"/>
  </si>
  <si>
    <t>剐</t>
    <phoneticPr fontId="1"/>
  </si>
  <si>
    <t>剤</t>
    <phoneticPr fontId="1"/>
  </si>
  <si>
    <t>剸</t>
    <phoneticPr fontId="1"/>
  </si>
  <si>
    <t>劌</t>
    <phoneticPr fontId="1"/>
  </si>
  <si>
    <t>加</t>
    <phoneticPr fontId="1"/>
  </si>
  <si>
    <t>労</t>
    <phoneticPr fontId="1"/>
  </si>
  <si>
    <t>勈</t>
    <phoneticPr fontId="1"/>
  </si>
  <si>
    <t>勜</t>
    <phoneticPr fontId="1"/>
  </si>
  <si>
    <t>勰</t>
    <phoneticPr fontId="1"/>
  </si>
  <si>
    <t>匄</t>
    <phoneticPr fontId="1"/>
  </si>
  <si>
    <t>匘</t>
    <phoneticPr fontId="1"/>
  </si>
  <si>
    <t>匬</t>
    <phoneticPr fontId="1"/>
  </si>
  <si>
    <t>區</t>
    <phoneticPr fontId="1"/>
  </si>
  <si>
    <t>協</t>
    <phoneticPr fontId="1"/>
  </si>
  <si>
    <t>卨</t>
    <phoneticPr fontId="1"/>
  </si>
  <si>
    <t>Ｆ</t>
    <phoneticPr fontId="1"/>
  </si>
  <si>
    <t>丅</t>
    <phoneticPr fontId="1"/>
  </si>
  <si>
    <t>丙</t>
  </si>
  <si>
    <t>中</t>
    <phoneticPr fontId="1"/>
  </si>
  <si>
    <t>乁</t>
    <phoneticPr fontId="1"/>
  </si>
  <si>
    <t>乕</t>
  </si>
  <si>
    <t>乩</t>
    <phoneticPr fontId="1"/>
  </si>
  <si>
    <t>乽</t>
    <phoneticPr fontId="1"/>
  </si>
  <si>
    <t>云</t>
    <phoneticPr fontId="1"/>
  </si>
  <si>
    <t>亥</t>
    <phoneticPr fontId="1"/>
  </si>
  <si>
    <t>亹</t>
    <phoneticPr fontId="1"/>
  </si>
  <si>
    <t>仍</t>
    <phoneticPr fontId="1"/>
  </si>
  <si>
    <t>仡</t>
    <phoneticPr fontId="1"/>
  </si>
  <si>
    <t>仵</t>
    <phoneticPr fontId="1"/>
  </si>
  <si>
    <t>伉</t>
    <phoneticPr fontId="1"/>
  </si>
  <si>
    <t>伝</t>
    <phoneticPr fontId="1"/>
  </si>
  <si>
    <t>伱</t>
    <phoneticPr fontId="1"/>
  </si>
  <si>
    <t>佅</t>
    <phoneticPr fontId="1"/>
  </si>
  <si>
    <t>余</t>
    <phoneticPr fontId="1"/>
  </si>
  <si>
    <t>佭</t>
    <phoneticPr fontId="1"/>
  </si>
  <si>
    <t>侁</t>
    <phoneticPr fontId="1"/>
  </si>
  <si>
    <t>侕</t>
    <phoneticPr fontId="1"/>
  </si>
  <si>
    <t>侩</t>
    <phoneticPr fontId="1"/>
  </si>
  <si>
    <t>侽</t>
    <phoneticPr fontId="1"/>
  </si>
  <si>
    <t>俑</t>
    <phoneticPr fontId="1"/>
  </si>
  <si>
    <t>俥</t>
    <phoneticPr fontId="1"/>
  </si>
  <si>
    <t>俹</t>
    <phoneticPr fontId="1"/>
  </si>
  <si>
    <t>倍</t>
    <phoneticPr fontId="1"/>
  </si>
  <si>
    <t>倡</t>
    <phoneticPr fontId="1"/>
  </si>
  <si>
    <t>倵</t>
    <phoneticPr fontId="1"/>
  </si>
  <si>
    <t>偉</t>
    <phoneticPr fontId="1"/>
  </si>
  <si>
    <t>偝</t>
    <phoneticPr fontId="1"/>
  </si>
  <si>
    <t>偱</t>
    <phoneticPr fontId="1"/>
  </si>
  <si>
    <t>傅</t>
    <phoneticPr fontId="1"/>
  </si>
  <si>
    <t>備</t>
    <phoneticPr fontId="1"/>
  </si>
  <si>
    <t>傭</t>
    <phoneticPr fontId="1"/>
  </si>
  <si>
    <t>僁</t>
    <phoneticPr fontId="1"/>
  </si>
  <si>
    <t>僕</t>
    <phoneticPr fontId="1"/>
  </si>
  <si>
    <t>僩</t>
    <phoneticPr fontId="1"/>
  </si>
  <si>
    <t>僽</t>
    <phoneticPr fontId="1"/>
  </si>
  <si>
    <t>儑</t>
    <phoneticPr fontId="1"/>
  </si>
  <si>
    <t>儥</t>
    <phoneticPr fontId="1"/>
  </si>
  <si>
    <t>儹</t>
    <phoneticPr fontId="1"/>
  </si>
  <si>
    <t>免</t>
    <phoneticPr fontId="1"/>
  </si>
  <si>
    <t>兡</t>
    <phoneticPr fontId="1"/>
  </si>
  <si>
    <t>兵</t>
    <phoneticPr fontId="1"/>
  </si>
  <si>
    <t>冉</t>
    <phoneticPr fontId="1"/>
  </si>
  <si>
    <t>冝</t>
    <phoneticPr fontId="1"/>
  </si>
  <si>
    <t>冱</t>
    <phoneticPr fontId="1"/>
  </si>
  <si>
    <t>凅</t>
    <phoneticPr fontId="1"/>
  </si>
  <si>
    <t>凙</t>
    <phoneticPr fontId="1"/>
  </si>
  <si>
    <t>凭</t>
    <phoneticPr fontId="1"/>
  </si>
  <si>
    <t>刁</t>
    <phoneticPr fontId="1"/>
  </si>
  <si>
    <t>刕</t>
    <phoneticPr fontId="1"/>
  </si>
  <si>
    <t>利</t>
    <phoneticPr fontId="1"/>
  </si>
  <si>
    <t>刽</t>
    <phoneticPr fontId="1"/>
  </si>
  <si>
    <t>剑</t>
    <phoneticPr fontId="1"/>
  </si>
  <si>
    <t>剥</t>
    <phoneticPr fontId="1"/>
  </si>
  <si>
    <t>剹</t>
    <phoneticPr fontId="1"/>
  </si>
  <si>
    <t>劍</t>
    <phoneticPr fontId="1"/>
  </si>
  <si>
    <t>务</t>
    <phoneticPr fontId="1"/>
  </si>
  <si>
    <t>劵</t>
    <phoneticPr fontId="1"/>
  </si>
  <si>
    <t>勉</t>
    <phoneticPr fontId="1"/>
  </si>
  <si>
    <t>勝</t>
    <phoneticPr fontId="1"/>
  </si>
  <si>
    <t>勱</t>
    <phoneticPr fontId="1"/>
  </si>
  <si>
    <t>包</t>
    <phoneticPr fontId="1"/>
  </si>
  <si>
    <t>匙</t>
    <phoneticPr fontId="1"/>
  </si>
  <si>
    <t>匭</t>
    <phoneticPr fontId="1"/>
  </si>
  <si>
    <t>十</t>
    <phoneticPr fontId="1"/>
  </si>
  <si>
    <t>单</t>
    <phoneticPr fontId="1"/>
  </si>
  <si>
    <t>卩</t>
    <phoneticPr fontId="1"/>
  </si>
  <si>
    <t>Ｇ</t>
    <phoneticPr fontId="1"/>
  </si>
  <si>
    <t>丆</t>
    <phoneticPr fontId="1"/>
  </si>
  <si>
    <t>业</t>
    <phoneticPr fontId="1"/>
  </si>
  <si>
    <t>丮</t>
    <phoneticPr fontId="1"/>
  </si>
  <si>
    <t>乂</t>
    <phoneticPr fontId="1"/>
  </si>
  <si>
    <t>乖</t>
  </si>
  <si>
    <t>乪</t>
    <phoneticPr fontId="1"/>
  </si>
  <si>
    <t>乾</t>
    <phoneticPr fontId="1"/>
  </si>
  <si>
    <t>互</t>
    <phoneticPr fontId="1"/>
  </si>
  <si>
    <t>亦</t>
    <phoneticPr fontId="1"/>
  </si>
  <si>
    <t>人</t>
    <phoneticPr fontId="1"/>
  </si>
  <si>
    <t>从</t>
    <phoneticPr fontId="1"/>
  </si>
  <si>
    <t>仢</t>
    <phoneticPr fontId="1"/>
  </si>
  <si>
    <t>件</t>
    <phoneticPr fontId="1"/>
  </si>
  <si>
    <t>伊</t>
    <phoneticPr fontId="1"/>
  </si>
  <si>
    <t>伞</t>
    <phoneticPr fontId="1"/>
  </si>
  <si>
    <t>伲</t>
    <phoneticPr fontId="1"/>
  </si>
  <si>
    <t>但</t>
    <phoneticPr fontId="1"/>
  </si>
  <si>
    <t>佚</t>
    <phoneticPr fontId="1"/>
  </si>
  <si>
    <t>佮</t>
    <phoneticPr fontId="1"/>
  </si>
  <si>
    <t>侂</t>
    <phoneticPr fontId="1"/>
  </si>
  <si>
    <t>侖</t>
    <phoneticPr fontId="1"/>
  </si>
  <si>
    <t>侪</t>
    <phoneticPr fontId="1"/>
  </si>
  <si>
    <t>侾</t>
    <phoneticPr fontId="1"/>
  </si>
  <si>
    <t>俒</t>
    <phoneticPr fontId="1"/>
  </si>
  <si>
    <t>俦</t>
    <phoneticPr fontId="1"/>
  </si>
  <si>
    <t>俺</t>
    <phoneticPr fontId="1"/>
  </si>
  <si>
    <t>倎</t>
    <phoneticPr fontId="1"/>
  </si>
  <si>
    <t>倢</t>
    <phoneticPr fontId="1"/>
  </si>
  <si>
    <t>倶</t>
    <phoneticPr fontId="1"/>
  </si>
  <si>
    <t>偊</t>
    <phoneticPr fontId="1"/>
  </si>
  <si>
    <t>偞</t>
    <phoneticPr fontId="1"/>
  </si>
  <si>
    <t>偲</t>
    <phoneticPr fontId="1"/>
  </si>
  <si>
    <t>傆</t>
    <phoneticPr fontId="1"/>
  </si>
  <si>
    <t>傚</t>
    <phoneticPr fontId="1"/>
  </si>
  <si>
    <t>傮</t>
    <phoneticPr fontId="1"/>
  </si>
  <si>
    <t>僂</t>
    <phoneticPr fontId="1"/>
  </si>
  <si>
    <t>僖</t>
    <phoneticPr fontId="1"/>
  </si>
  <si>
    <t>僪</t>
    <phoneticPr fontId="1"/>
  </si>
  <si>
    <t>僾</t>
    <phoneticPr fontId="1"/>
  </si>
  <si>
    <t>儒</t>
    <phoneticPr fontId="1"/>
  </si>
  <si>
    <t>儦</t>
    <phoneticPr fontId="1"/>
  </si>
  <si>
    <t>儺</t>
    <phoneticPr fontId="1"/>
  </si>
  <si>
    <t>兎</t>
    <phoneticPr fontId="1"/>
  </si>
  <si>
    <t>兢</t>
    <phoneticPr fontId="1"/>
  </si>
  <si>
    <t>其</t>
    <phoneticPr fontId="1"/>
  </si>
  <si>
    <t>冊</t>
    <phoneticPr fontId="1"/>
  </si>
  <si>
    <t>冞</t>
    <phoneticPr fontId="1"/>
  </si>
  <si>
    <t>冲</t>
    <phoneticPr fontId="1"/>
  </si>
  <si>
    <t>准</t>
    <phoneticPr fontId="1"/>
  </si>
  <si>
    <t>凚</t>
    <phoneticPr fontId="1"/>
  </si>
  <si>
    <t>凮</t>
    <phoneticPr fontId="1"/>
  </si>
  <si>
    <t>刂</t>
    <phoneticPr fontId="1"/>
  </si>
  <si>
    <t>刖</t>
    <phoneticPr fontId="1"/>
  </si>
  <si>
    <t>刪</t>
    <phoneticPr fontId="1"/>
  </si>
  <si>
    <t>刾</t>
    <phoneticPr fontId="1"/>
  </si>
  <si>
    <t>剒</t>
    <phoneticPr fontId="1"/>
  </si>
  <si>
    <t>剦</t>
    <phoneticPr fontId="1"/>
  </si>
  <si>
    <t>剺</t>
    <phoneticPr fontId="1"/>
  </si>
  <si>
    <t>劎</t>
    <phoneticPr fontId="1"/>
  </si>
  <si>
    <t>劢</t>
    <phoneticPr fontId="1"/>
  </si>
  <si>
    <t>劶</t>
    <phoneticPr fontId="1"/>
  </si>
  <si>
    <t>勊</t>
    <phoneticPr fontId="1"/>
  </si>
  <si>
    <t>勞</t>
    <phoneticPr fontId="1"/>
  </si>
  <si>
    <t>勲</t>
    <phoneticPr fontId="1"/>
  </si>
  <si>
    <t>匆</t>
    <phoneticPr fontId="1"/>
  </si>
  <si>
    <t>匚</t>
    <phoneticPr fontId="1"/>
  </si>
  <si>
    <t>匮</t>
    <phoneticPr fontId="1"/>
  </si>
  <si>
    <t>卂</t>
    <phoneticPr fontId="1"/>
  </si>
  <si>
    <t>卖</t>
    <phoneticPr fontId="1"/>
  </si>
  <si>
    <t>卪</t>
    <phoneticPr fontId="1"/>
  </si>
  <si>
    <t>Ｈ</t>
    <phoneticPr fontId="1"/>
  </si>
  <si>
    <t>万</t>
    <phoneticPr fontId="1"/>
  </si>
  <si>
    <t>丛</t>
    <phoneticPr fontId="1"/>
  </si>
  <si>
    <t>丯</t>
    <phoneticPr fontId="1"/>
  </si>
  <si>
    <t>乃</t>
    <phoneticPr fontId="1"/>
  </si>
  <si>
    <t>乗</t>
  </si>
  <si>
    <t>乫</t>
    <phoneticPr fontId="1"/>
  </si>
  <si>
    <t>乿</t>
    <phoneticPr fontId="1"/>
  </si>
  <si>
    <t>亓</t>
    <phoneticPr fontId="1"/>
  </si>
  <si>
    <t>产</t>
    <phoneticPr fontId="1"/>
  </si>
  <si>
    <t>亻</t>
    <phoneticPr fontId="1"/>
  </si>
  <si>
    <t>仏</t>
    <phoneticPr fontId="1"/>
  </si>
  <si>
    <t>代</t>
    <phoneticPr fontId="1"/>
  </si>
  <si>
    <t>价</t>
    <phoneticPr fontId="1"/>
  </si>
  <si>
    <t>伋</t>
    <phoneticPr fontId="1"/>
  </si>
  <si>
    <t>伟</t>
    <phoneticPr fontId="1"/>
  </si>
  <si>
    <t>伳</t>
    <phoneticPr fontId="1"/>
  </si>
  <si>
    <t>佇</t>
    <phoneticPr fontId="1"/>
  </si>
  <si>
    <t>佛</t>
    <phoneticPr fontId="1"/>
  </si>
  <si>
    <t>佯</t>
    <phoneticPr fontId="1"/>
  </si>
  <si>
    <t>侃</t>
    <phoneticPr fontId="1"/>
  </si>
  <si>
    <t>侗</t>
    <phoneticPr fontId="1"/>
  </si>
  <si>
    <t>侫</t>
    <phoneticPr fontId="1"/>
  </si>
  <si>
    <t>便</t>
    <phoneticPr fontId="1"/>
  </si>
  <si>
    <t>俓</t>
    <phoneticPr fontId="1"/>
  </si>
  <si>
    <t>俧</t>
    <phoneticPr fontId="1"/>
  </si>
  <si>
    <t>俻</t>
    <phoneticPr fontId="1"/>
  </si>
  <si>
    <t>倏</t>
    <phoneticPr fontId="1"/>
  </si>
  <si>
    <t>倣</t>
    <phoneticPr fontId="1"/>
  </si>
  <si>
    <t>倷</t>
    <phoneticPr fontId="1"/>
  </si>
  <si>
    <t>偋</t>
    <phoneticPr fontId="1"/>
  </si>
  <si>
    <t>偟</t>
    <phoneticPr fontId="1"/>
  </si>
  <si>
    <t>偳</t>
    <phoneticPr fontId="1"/>
  </si>
  <si>
    <t>傇</t>
    <phoneticPr fontId="1"/>
  </si>
  <si>
    <t>傛</t>
    <phoneticPr fontId="1"/>
  </si>
  <si>
    <t>傯</t>
    <phoneticPr fontId="1"/>
  </si>
  <si>
    <t>僃</t>
    <phoneticPr fontId="1"/>
  </si>
  <si>
    <t>僗</t>
    <phoneticPr fontId="1"/>
  </si>
  <si>
    <t>僫</t>
    <phoneticPr fontId="1"/>
  </si>
  <si>
    <t>僿</t>
    <phoneticPr fontId="1"/>
  </si>
  <si>
    <t>儓</t>
    <phoneticPr fontId="1"/>
  </si>
  <si>
    <t>儧</t>
  </si>
  <si>
    <t>儻</t>
    <phoneticPr fontId="1"/>
  </si>
  <si>
    <t>兏</t>
    <phoneticPr fontId="1"/>
  </si>
  <si>
    <t>兣</t>
    <phoneticPr fontId="1"/>
  </si>
  <si>
    <t>具</t>
    <phoneticPr fontId="1"/>
  </si>
  <si>
    <t>冋</t>
    <phoneticPr fontId="1"/>
  </si>
  <si>
    <t>冟</t>
    <phoneticPr fontId="1"/>
  </si>
  <si>
    <t>决</t>
    <phoneticPr fontId="1"/>
  </si>
  <si>
    <t>凇</t>
    <phoneticPr fontId="1"/>
  </si>
  <si>
    <t>凛</t>
    <phoneticPr fontId="1"/>
  </si>
  <si>
    <t>凯</t>
    <phoneticPr fontId="1"/>
  </si>
  <si>
    <t>刃</t>
    <phoneticPr fontId="1"/>
  </si>
  <si>
    <t>列</t>
    <phoneticPr fontId="1"/>
  </si>
  <si>
    <t>别</t>
    <phoneticPr fontId="1"/>
  </si>
  <si>
    <t>刿</t>
    <phoneticPr fontId="1"/>
  </si>
  <si>
    <t>剓</t>
    <phoneticPr fontId="1"/>
  </si>
  <si>
    <t>剧</t>
    <phoneticPr fontId="1"/>
  </si>
  <si>
    <t>剻</t>
    <phoneticPr fontId="1"/>
  </si>
  <si>
    <t>劏</t>
    <phoneticPr fontId="1"/>
  </si>
  <si>
    <t>劣</t>
    <phoneticPr fontId="1"/>
  </si>
  <si>
    <t>劷</t>
    <phoneticPr fontId="1"/>
  </si>
  <si>
    <t>勋</t>
    <phoneticPr fontId="1"/>
  </si>
  <si>
    <t>募</t>
    <phoneticPr fontId="1"/>
  </si>
  <si>
    <t>勳</t>
    <phoneticPr fontId="1"/>
  </si>
  <si>
    <t>匇</t>
    <phoneticPr fontId="1"/>
  </si>
  <si>
    <t>匛</t>
    <phoneticPr fontId="1"/>
  </si>
  <si>
    <t>匯</t>
    <phoneticPr fontId="1"/>
  </si>
  <si>
    <t>千</t>
    <phoneticPr fontId="1"/>
  </si>
  <si>
    <t>南</t>
    <phoneticPr fontId="1"/>
  </si>
  <si>
    <t>卫</t>
    <phoneticPr fontId="1"/>
  </si>
  <si>
    <t>Ｉ</t>
    <phoneticPr fontId="1"/>
  </si>
  <si>
    <t>丈</t>
    <phoneticPr fontId="1"/>
  </si>
  <si>
    <t>东</t>
    <phoneticPr fontId="1"/>
  </si>
  <si>
    <t>丰</t>
    <phoneticPr fontId="1"/>
  </si>
  <si>
    <t>乄</t>
    <phoneticPr fontId="1"/>
  </si>
  <si>
    <t>乘</t>
    <phoneticPr fontId="1"/>
  </si>
  <si>
    <t>乬</t>
    <phoneticPr fontId="1"/>
  </si>
  <si>
    <t>亀</t>
    <phoneticPr fontId="1"/>
  </si>
  <si>
    <t>五</t>
    <phoneticPr fontId="1"/>
  </si>
  <si>
    <t>亨</t>
    <phoneticPr fontId="1"/>
  </si>
  <si>
    <t>亼</t>
    <phoneticPr fontId="1"/>
  </si>
  <si>
    <t>仐</t>
    <phoneticPr fontId="1"/>
  </si>
  <si>
    <t>令</t>
    <phoneticPr fontId="1"/>
  </si>
  <si>
    <t>仸</t>
    <phoneticPr fontId="1"/>
  </si>
  <si>
    <t>伌</t>
    <phoneticPr fontId="1"/>
  </si>
  <si>
    <t>传</t>
    <phoneticPr fontId="1"/>
  </si>
  <si>
    <t>伴</t>
    <phoneticPr fontId="1"/>
  </si>
  <si>
    <t>佈</t>
    <phoneticPr fontId="1"/>
  </si>
  <si>
    <t>作</t>
    <phoneticPr fontId="1"/>
  </si>
  <si>
    <t>佰</t>
    <phoneticPr fontId="1"/>
  </si>
  <si>
    <t>侄</t>
    <phoneticPr fontId="1"/>
  </si>
  <si>
    <t>侘</t>
    <phoneticPr fontId="1"/>
  </si>
  <si>
    <t>侬</t>
    <phoneticPr fontId="1"/>
  </si>
  <si>
    <t>俀</t>
    <phoneticPr fontId="1"/>
  </si>
  <si>
    <t>俔</t>
    <phoneticPr fontId="1"/>
  </si>
  <si>
    <t>俨</t>
    <phoneticPr fontId="1"/>
  </si>
  <si>
    <t>俼</t>
    <phoneticPr fontId="1"/>
  </si>
  <si>
    <t>倐</t>
    <phoneticPr fontId="1"/>
  </si>
  <si>
    <t>値</t>
    <phoneticPr fontId="1"/>
  </si>
  <si>
    <t>倸</t>
    <phoneticPr fontId="1"/>
  </si>
  <si>
    <t>偌</t>
    <phoneticPr fontId="1"/>
  </si>
  <si>
    <t>偠</t>
    <phoneticPr fontId="1"/>
  </si>
  <si>
    <t>側</t>
    <phoneticPr fontId="1"/>
  </si>
  <si>
    <t>傈</t>
    <phoneticPr fontId="1"/>
  </si>
  <si>
    <t>傜</t>
    <phoneticPr fontId="1"/>
  </si>
  <si>
    <t>傰</t>
    <phoneticPr fontId="1"/>
  </si>
  <si>
    <t>僄</t>
    <phoneticPr fontId="1"/>
  </si>
  <si>
    <t>僘</t>
    <phoneticPr fontId="1"/>
  </si>
  <si>
    <t>僬</t>
    <phoneticPr fontId="1"/>
  </si>
  <si>
    <t>儀</t>
    <phoneticPr fontId="1"/>
  </si>
  <si>
    <t>儔</t>
    <phoneticPr fontId="1"/>
  </si>
  <si>
    <t>儨</t>
    <phoneticPr fontId="1"/>
  </si>
  <si>
    <t>儼</t>
    <phoneticPr fontId="1"/>
  </si>
  <si>
    <t>児</t>
    <phoneticPr fontId="1"/>
  </si>
  <si>
    <t>兤</t>
    <phoneticPr fontId="1"/>
  </si>
  <si>
    <t>典</t>
    <phoneticPr fontId="1"/>
  </si>
  <si>
    <t>册</t>
    <phoneticPr fontId="1"/>
  </si>
  <si>
    <t>冠</t>
    <phoneticPr fontId="1"/>
  </si>
  <si>
    <t>冴</t>
    <phoneticPr fontId="1"/>
  </si>
  <si>
    <t>凈</t>
    <phoneticPr fontId="1"/>
  </si>
  <si>
    <t>凜</t>
    <phoneticPr fontId="1"/>
  </si>
  <si>
    <t>凰</t>
    <phoneticPr fontId="1"/>
  </si>
  <si>
    <t>刄</t>
    <phoneticPr fontId="1"/>
  </si>
  <si>
    <t>刘</t>
    <phoneticPr fontId="1"/>
  </si>
  <si>
    <t>刬</t>
    <phoneticPr fontId="1"/>
  </si>
  <si>
    <t>剀</t>
    <phoneticPr fontId="1"/>
  </si>
  <si>
    <t>剔</t>
    <phoneticPr fontId="1"/>
  </si>
  <si>
    <t>剨</t>
    <phoneticPr fontId="1"/>
  </si>
  <si>
    <t>剼</t>
    <phoneticPr fontId="1"/>
  </si>
  <si>
    <t>劐</t>
    <phoneticPr fontId="1"/>
  </si>
  <si>
    <t>劤</t>
    <phoneticPr fontId="1"/>
  </si>
  <si>
    <t>劸</t>
    <phoneticPr fontId="1"/>
  </si>
  <si>
    <t>勌</t>
    <phoneticPr fontId="1"/>
  </si>
  <si>
    <t>勠</t>
    <phoneticPr fontId="1"/>
  </si>
  <si>
    <t>勴</t>
    <phoneticPr fontId="1"/>
  </si>
  <si>
    <t>匈</t>
    <phoneticPr fontId="1"/>
  </si>
  <si>
    <t>匜</t>
    <phoneticPr fontId="1"/>
  </si>
  <si>
    <t>匰</t>
    <phoneticPr fontId="1"/>
  </si>
  <si>
    <t>卄</t>
    <phoneticPr fontId="1"/>
  </si>
  <si>
    <t>単</t>
    <phoneticPr fontId="1"/>
  </si>
  <si>
    <t>卬</t>
    <phoneticPr fontId="1"/>
  </si>
  <si>
    <t>Ｊ</t>
    <phoneticPr fontId="1"/>
  </si>
  <si>
    <t>三</t>
  </si>
  <si>
    <t>丝</t>
    <phoneticPr fontId="1"/>
  </si>
  <si>
    <t>丱</t>
    <phoneticPr fontId="1"/>
  </si>
  <si>
    <t>久</t>
    <phoneticPr fontId="1"/>
  </si>
  <si>
    <t>乙</t>
    <phoneticPr fontId="1"/>
  </si>
  <si>
    <t>と</t>
  </si>
  <si>
    <t>乭</t>
    <phoneticPr fontId="1"/>
  </si>
  <si>
    <t>亁</t>
    <phoneticPr fontId="1"/>
  </si>
  <si>
    <t>井</t>
    <phoneticPr fontId="1"/>
  </si>
  <si>
    <t>亩</t>
    <phoneticPr fontId="1"/>
  </si>
  <si>
    <t>ふ</t>
  </si>
  <si>
    <t>亽</t>
    <phoneticPr fontId="1"/>
  </si>
  <si>
    <t>仑</t>
    <phoneticPr fontId="1"/>
  </si>
  <si>
    <t>以</t>
    <phoneticPr fontId="1"/>
  </si>
  <si>
    <t>仹</t>
    <phoneticPr fontId="1"/>
  </si>
  <si>
    <t>伍</t>
    <phoneticPr fontId="1"/>
  </si>
  <si>
    <t>伡</t>
    <phoneticPr fontId="1"/>
  </si>
  <si>
    <t>伵</t>
    <phoneticPr fontId="1"/>
  </si>
  <si>
    <t>佉</t>
    <phoneticPr fontId="1"/>
  </si>
  <si>
    <t>佝</t>
    <phoneticPr fontId="1"/>
  </si>
  <si>
    <t>佱</t>
    <phoneticPr fontId="1"/>
  </si>
  <si>
    <t>侅</t>
    <phoneticPr fontId="1"/>
  </si>
  <si>
    <t>侙</t>
    <phoneticPr fontId="1"/>
  </si>
  <si>
    <t>侭</t>
    <phoneticPr fontId="1"/>
  </si>
  <si>
    <t>俁</t>
    <phoneticPr fontId="1"/>
  </si>
  <si>
    <t>俕</t>
    <phoneticPr fontId="1"/>
  </si>
  <si>
    <t>俩</t>
    <phoneticPr fontId="1"/>
  </si>
  <si>
    <t>俽</t>
    <phoneticPr fontId="1"/>
  </si>
  <si>
    <t>們</t>
    <phoneticPr fontId="1"/>
  </si>
  <si>
    <t>倥</t>
    <phoneticPr fontId="1"/>
  </si>
  <si>
    <t>倹</t>
    <phoneticPr fontId="1"/>
  </si>
  <si>
    <t>偍</t>
    <phoneticPr fontId="1"/>
  </si>
  <si>
    <t>偡</t>
    <phoneticPr fontId="1"/>
  </si>
  <si>
    <t>偵</t>
    <phoneticPr fontId="1"/>
  </si>
  <si>
    <t>傉</t>
    <phoneticPr fontId="1"/>
  </si>
  <si>
    <t>傝</t>
    <phoneticPr fontId="1"/>
  </si>
  <si>
    <t>傱</t>
    <phoneticPr fontId="1"/>
  </si>
  <si>
    <t>僅</t>
    <phoneticPr fontId="1"/>
  </si>
  <si>
    <t>僙</t>
    <phoneticPr fontId="1"/>
  </si>
  <si>
    <t>僭</t>
    <phoneticPr fontId="1"/>
  </si>
  <si>
    <t>儁</t>
    <phoneticPr fontId="1"/>
  </si>
  <si>
    <t>儕</t>
    <phoneticPr fontId="1"/>
  </si>
  <si>
    <t>儩</t>
    <phoneticPr fontId="1"/>
  </si>
  <si>
    <t>儽</t>
    <phoneticPr fontId="1"/>
  </si>
  <si>
    <t>兑</t>
    <phoneticPr fontId="1"/>
  </si>
  <si>
    <t>入</t>
    <phoneticPr fontId="1"/>
  </si>
  <si>
    <t>兹</t>
    <phoneticPr fontId="1"/>
  </si>
  <si>
    <t>再</t>
    <phoneticPr fontId="1"/>
  </si>
  <si>
    <t>冡</t>
    <phoneticPr fontId="1"/>
  </si>
  <si>
    <t>况</t>
    <phoneticPr fontId="1"/>
  </si>
  <si>
    <t>凉</t>
    <phoneticPr fontId="1"/>
  </si>
  <si>
    <t>凝</t>
    <phoneticPr fontId="1"/>
  </si>
  <si>
    <t>凱</t>
    <phoneticPr fontId="1"/>
  </si>
  <si>
    <t>刅</t>
    <phoneticPr fontId="1"/>
  </si>
  <si>
    <t>则</t>
    <phoneticPr fontId="1"/>
  </si>
  <si>
    <t>刭</t>
    <phoneticPr fontId="1"/>
  </si>
  <si>
    <t>剁</t>
    <phoneticPr fontId="1"/>
  </si>
  <si>
    <t>剕</t>
    <phoneticPr fontId="1"/>
  </si>
  <si>
    <t>剩</t>
    <phoneticPr fontId="1"/>
  </si>
  <si>
    <t>剽</t>
    <phoneticPr fontId="1"/>
  </si>
  <si>
    <t>劑</t>
    <phoneticPr fontId="1"/>
  </si>
  <si>
    <t>劥</t>
    <phoneticPr fontId="1"/>
  </si>
  <si>
    <t>効</t>
    <phoneticPr fontId="1"/>
  </si>
  <si>
    <t>勍</t>
    <phoneticPr fontId="1"/>
  </si>
  <si>
    <t>勡</t>
    <phoneticPr fontId="1"/>
  </si>
  <si>
    <t>勵</t>
    <phoneticPr fontId="1"/>
  </si>
  <si>
    <t>匉</t>
    <phoneticPr fontId="1"/>
  </si>
  <si>
    <t>匝</t>
    <phoneticPr fontId="1"/>
  </si>
  <si>
    <t>匱</t>
    <phoneticPr fontId="1"/>
  </si>
  <si>
    <t>卅</t>
    <phoneticPr fontId="1"/>
  </si>
  <si>
    <t>卙</t>
    <phoneticPr fontId="1"/>
  </si>
  <si>
    <t>卭</t>
    <phoneticPr fontId="1"/>
  </si>
  <si>
    <t>Ｋ</t>
    <phoneticPr fontId="1"/>
  </si>
  <si>
    <t>上</t>
    <phoneticPr fontId="1"/>
  </si>
  <si>
    <t>丞</t>
    <phoneticPr fontId="1"/>
  </si>
  <si>
    <t>串</t>
    <phoneticPr fontId="1"/>
  </si>
  <si>
    <t>乆</t>
    <phoneticPr fontId="1"/>
  </si>
  <si>
    <t>乚</t>
    <phoneticPr fontId="1"/>
  </si>
  <si>
    <t>乮</t>
    <phoneticPr fontId="1"/>
  </si>
  <si>
    <t>亂</t>
    <phoneticPr fontId="1"/>
  </si>
  <si>
    <t>亖</t>
    <phoneticPr fontId="1"/>
  </si>
  <si>
    <t>亪</t>
    <phoneticPr fontId="1"/>
  </si>
  <si>
    <t>亾</t>
    <phoneticPr fontId="1"/>
  </si>
  <si>
    <t>仒</t>
    <phoneticPr fontId="1"/>
  </si>
  <si>
    <t>仦</t>
    <phoneticPr fontId="1"/>
  </si>
  <si>
    <t>仺</t>
    <phoneticPr fontId="1"/>
  </si>
  <si>
    <t>伎</t>
    <phoneticPr fontId="1"/>
  </si>
  <si>
    <t>伢</t>
    <phoneticPr fontId="1"/>
  </si>
  <si>
    <t>伶</t>
    <phoneticPr fontId="1"/>
  </si>
  <si>
    <t>佊</t>
    <phoneticPr fontId="1"/>
  </si>
  <si>
    <t>佞</t>
    <phoneticPr fontId="1"/>
  </si>
  <si>
    <t>佲</t>
    <phoneticPr fontId="1"/>
  </si>
  <si>
    <t>來</t>
    <phoneticPr fontId="1"/>
  </si>
  <si>
    <t>侚</t>
    <phoneticPr fontId="1"/>
  </si>
  <si>
    <t>侮</t>
    <phoneticPr fontId="1"/>
  </si>
  <si>
    <t>係</t>
    <phoneticPr fontId="1"/>
  </si>
  <si>
    <t>俖</t>
    <phoneticPr fontId="1"/>
  </si>
  <si>
    <t>俪</t>
    <phoneticPr fontId="1"/>
  </si>
  <si>
    <t>俾</t>
    <phoneticPr fontId="1"/>
  </si>
  <si>
    <t>倒</t>
    <phoneticPr fontId="1"/>
  </si>
  <si>
    <t>倦</t>
    <phoneticPr fontId="1"/>
  </si>
  <si>
    <t>债</t>
    <phoneticPr fontId="1"/>
  </si>
  <si>
    <t>偎</t>
    <phoneticPr fontId="1"/>
  </si>
  <si>
    <t>偢</t>
    <phoneticPr fontId="1"/>
  </si>
  <si>
    <t>偶</t>
    <phoneticPr fontId="1"/>
  </si>
  <si>
    <t>傊</t>
    <phoneticPr fontId="1"/>
  </si>
  <si>
    <t>傞</t>
    <phoneticPr fontId="1"/>
  </si>
  <si>
    <t>傲</t>
    <phoneticPr fontId="1"/>
  </si>
  <si>
    <t>僆</t>
    <phoneticPr fontId="1"/>
  </si>
  <si>
    <t>僚</t>
    <phoneticPr fontId="1"/>
  </si>
  <si>
    <t>僮</t>
    <phoneticPr fontId="1"/>
  </si>
  <si>
    <t>儂</t>
    <phoneticPr fontId="1"/>
  </si>
  <si>
    <t>儖</t>
    <phoneticPr fontId="1"/>
  </si>
  <si>
    <t>優</t>
    <phoneticPr fontId="1"/>
  </si>
  <si>
    <t>儾</t>
    <phoneticPr fontId="1"/>
  </si>
  <si>
    <t>兒</t>
    <phoneticPr fontId="1"/>
  </si>
  <si>
    <t>兦</t>
    <phoneticPr fontId="1"/>
  </si>
  <si>
    <t>兺</t>
    <phoneticPr fontId="1"/>
  </si>
  <si>
    <t>冎</t>
    <phoneticPr fontId="1"/>
  </si>
  <si>
    <t>冢</t>
    <phoneticPr fontId="1"/>
  </si>
  <si>
    <t>冶</t>
    <phoneticPr fontId="1"/>
  </si>
  <si>
    <t>凊</t>
    <phoneticPr fontId="1"/>
  </si>
  <si>
    <t>凞</t>
    <phoneticPr fontId="1"/>
  </si>
  <si>
    <t>凲</t>
    <phoneticPr fontId="1"/>
  </si>
  <si>
    <t>分</t>
    <phoneticPr fontId="1"/>
  </si>
  <si>
    <t>刚</t>
    <phoneticPr fontId="1"/>
  </si>
  <si>
    <t>刮</t>
    <phoneticPr fontId="1"/>
  </si>
  <si>
    <t>剂</t>
    <phoneticPr fontId="1"/>
  </si>
  <si>
    <t>剖</t>
    <phoneticPr fontId="1"/>
  </si>
  <si>
    <t>剪</t>
    <phoneticPr fontId="1"/>
  </si>
  <si>
    <t>剾</t>
    <phoneticPr fontId="1"/>
  </si>
  <si>
    <t>劒</t>
    <phoneticPr fontId="1"/>
  </si>
  <si>
    <t>劦</t>
    <phoneticPr fontId="1"/>
  </si>
  <si>
    <t>劺</t>
    <phoneticPr fontId="1"/>
  </si>
  <si>
    <t>勎</t>
    <phoneticPr fontId="1"/>
  </si>
  <si>
    <t>勢</t>
    <phoneticPr fontId="1"/>
  </si>
  <si>
    <t>勶</t>
    <phoneticPr fontId="1"/>
  </si>
  <si>
    <t>匊</t>
    <phoneticPr fontId="1"/>
  </si>
  <si>
    <t>匞</t>
    <phoneticPr fontId="1"/>
  </si>
  <si>
    <t>匲</t>
    <phoneticPr fontId="1"/>
  </si>
  <si>
    <t>卆</t>
    <phoneticPr fontId="1"/>
  </si>
  <si>
    <t>博</t>
    <phoneticPr fontId="1"/>
  </si>
  <si>
    <t>卮</t>
    <phoneticPr fontId="1"/>
  </si>
  <si>
    <t>Ｌ</t>
    <phoneticPr fontId="1"/>
  </si>
  <si>
    <t>下</t>
  </si>
  <si>
    <t>丟</t>
    <phoneticPr fontId="1"/>
  </si>
  <si>
    <t>丳</t>
    <phoneticPr fontId="1"/>
  </si>
  <si>
    <t>乇</t>
    <phoneticPr fontId="1"/>
  </si>
  <si>
    <t>乛</t>
    <phoneticPr fontId="1"/>
  </si>
  <si>
    <t>乯</t>
    <phoneticPr fontId="1"/>
  </si>
  <si>
    <t>亃</t>
    <phoneticPr fontId="1"/>
  </si>
  <si>
    <t>そ</t>
  </si>
  <si>
    <t>亗</t>
    <phoneticPr fontId="1"/>
  </si>
  <si>
    <t>享</t>
    <phoneticPr fontId="1"/>
  </si>
  <si>
    <t>亿</t>
    <phoneticPr fontId="1"/>
  </si>
  <si>
    <t>仓</t>
    <phoneticPr fontId="1"/>
  </si>
  <si>
    <t>仧</t>
    <phoneticPr fontId="1"/>
  </si>
  <si>
    <t>任</t>
    <phoneticPr fontId="1"/>
  </si>
  <si>
    <t>伏</t>
    <phoneticPr fontId="1"/>
  </si>
  <si>
    <t>伣</t>
    <phoneticPr fontId="1"/>
  </si>
  <si>
    <t>伷</t>
    <phoneticPr fontId="1"/>
  </si>
  <si>
    <t>佋</t>
    <phoneticPr fontId="1"/>
  </si>
  <si>
    <t>佟</t>
    <phoneticPr fontId="1"/>
  </si>
  <si>
    <t>佳</t>
    <phoneticPr fontId="1"/>
  </si>
  <si>
    <t>侇</t>
    <phoneticPr fontId="1"/>
  </si>
  <si>
    <t>供</t>
    <phoneticPr fontId="1"/>
  </si>
  <si>
    <t>侯</t>
    <phoneticPr fontId="1"/>
  </si>
  <si>
    <t>促</t>
    <phoneticPr fontId="1"/>
  </si>
  <si>
    <t>俗</t>
    <phoneticPr fontId="1"/>
  </si>
  <si>
    <t>俫</t>
    <phoneticPr fontId="1"/>
  </si>
  <si>
    <t>俿</t>
    <phoneticPr fontId="1"/>
  </si>
  <si>
    <t>倓</t>
    <phoneticPr fontId="1"/>
  </si>
  <si>
    <t>倧</t>
    <phoneticPr fontId="1"/>
  </si>
  <si>
    <t>倻</t>
    <phoneticPr fontId="1"/>
  </si>
  <si>
    <t>偏</t>
    <phoneticPr fontId="1"/>
  </si>
  <si>
    <t>偣</t>
    <phoneticPr fontId="1"/>
  </si>
  <si>
    <t>偷</t>
    <phoneticPr fontId="1"/>
  </si>
  <si>
    <t>傋</t>
    <phoneticPr fontId="1"/>
  </si>
  <si>
    <t>傟</t>
    <phoneticPr fontId="1"/>
  </si>
  <si>
    <t>傳</t>
    <phoneticPr fontId="1"/>
  </si>
  <si>
    <t>僇</t>
    <phoneticPr fontId="1"/>
  </si>
  <si>
    <t>僛</t>
    <phoneticPr fontId="1"/>
  </si>
  <si>
    <t>僯</t>
    <phoneticPr fontId="1"/>
  </si>
  <si>
    <t>儃</t>
    <phoneticPr fontId="1"/>
  </si>
  <si>
    <t>儗</t>
    <phoneticPr fontId="1"/>
  </si>
  <si>
    <t>儫</t>
    <phoneticPr fontId="1"/>
  </si>
  <si>
    <t>儿</t>
    <phoneticPr fontId="1"/>
  </si>
  <si>
    <t>兓</t>
    <phoneticPr fontId="1"/>
  </si>
  <si>
    <t>內</t>
    <phoneticPr fontId="1"/>
  </si>
  <si>
    <t>养</t>
    <phoneticPr fontId="1"/>
  </si>
  <si>
    <t>冏</t>
    <phoneticPr fontId="1"/>
  </si>
  <si>
    <t>冣</t>
    <phoneticPr fontId="1"/>
  </si>
  <si>
    <t>冷</t>
    <phoneticPr fontId="1"/>
  </si>
  <si>
    <t>凋</t>
    <phoneticPr fontId="1"/>
  </si>
  <si>
    <t>凟</t>
    <phoneticPr fontId="1"/>
  </si>
  <si>
    <t>凳</t>
    <phoneticPr fontId="1"/>
  </si>
  <si>
    <t>切</t>
    <phoneticPr fontId="1"/>
  </si>
  <si>
    <t>创</t>
    <phoneticPr fontId="1"/>
  </si>
  <si>
    <t>刯</t>
    <phoneticPr fontId="1"/>
  </si>
  <si>
    <t>剃</t>
    <phoneticPr fontId="1"/>
  </si>
  <si>
    <t>剗</t>
    <phoneticPr fontId="1"/>
  </si>
  <si>
    <t>剫</t>
    <phoneticPr fontId="1"/>
  </si>
  <si>
    <t>剿</t>
    <phoneticPr fontId="1"/>
  </si>
  <si>
    <t>劓</t>
    <phoneticPr fontId="1"/>
  </si>
  <si>
    <t>劧</t>
    <phoneticPr fontId="1"/>
  </si>
  <si>
    <t>劻</t>
    <phoneticPr fontId="1"/>
  </si>
  <si>
    <t>勏</t>
    <phoneticPr fontId="1"/>
  </si>
  <si>
    <t>勣</t>
    <phoneticPr fontId="1"/>
  </si>
  <si>
    <t>勷</t>
    <phoneticPr fontId="1"/>
  </si>
  <si>
    <t>匋</t>
    <phoneticPr fontId="1"/>
  </si>
  <si>
    <t>匟</t>
    <phoneticPr fontId="1"/>
  </si>
  <si>
    <t>匳</t>
    <phoneticPr fontId="1"/>
  </si>
  <si>
    <t>升</t>
    <phoneticPr fontId="1"/>
  </si>
  <si>
    <t>卛</t>
    <phoneticPr fontId="1"/>
  </si>
  <si>
    <t>卯</t>
    <phoneticPr fontId="1"/>
  </si>
  <si>
    <t>Ｍ</t>
    <phoneticPr fontId="1"/>
  </si>
  <si>
    <t>丌</t>
    <phoneticPr fontId="1"/>
  </si>
  <si>
    <t>丠</t>
    <phoneticPr fontId="1"/>
  </si>
  <si>
    <t>临</t>
    <phoneticPr fontId="1"/>
  </si>
  <si>
    <t>么</t>
    <phoneticPr fontId="1"/>
  </si>
  <si>
    <t>乜</t>
    <phoneticPr fontId="1"/>
  </si>
  <si>
    <t>买</t>
    <phoneticPr fontId="1"/>
  </si>
  <si>
    <t>亄</t>
    <phoneticPr fontId="1"/>
  </si>
  <si>
    <t>亘</t>
    <phoneticPr fontId="1"/>
  </si>
  <si>
    <t>京</t>
    <phoneticPr fontId="1"/>
  </si>
  <si>
    <t>什</t>
    <phoneticPr fontId="1"/>
  </si>
  <si>
    <t>仔</t>
    <phoneticPr fontId="1"/>
  </si>
  <si>
    <t>仨</t>
    <phoneticPr fontId="1"/>
  </si>
  <si>
    <t>仼</t>
    <phoneticPr fontId="1"/>
  </si>
  <si>
    <t>伐</t>
    <phoneticPr fontId="1"/>
  </si>
  <si>
    <t>伤</t>
    <phoneticPr fontId="1"/>
  </si>
  <si>
    <t>伸</t>
    <phoneticPr fontId="1"/>
  </si>
  <si>
    <t>佌</t>
    <phoneticPr fontId="1"/>
  </si>
  <si>
    <t>你</t>
    <phoneticPr fontId="1"/>
  </si>
  <si>
    <t>佴</t>
    <phoneticPr fontId="1"/>
  </si>
  <si>
    <t>侈</t>
    <phoneticPr fontId="1"/>
  </si>
  <si>
    <t>侜</t>
    <phoneticPr fontId="1"/>
  </si>
  <si>
    <t>供</t>
    <rPh sb="0" eb="1">
      <t>トモ</t>
    </rPh>
    <phoneticPr fontId="1"/>
  </si>
  <si>
    <t>侰</t>
    <phoneticPr fontId="1"/>
  </si>
  <si>
    <t>俄</t>
    <phoneticPr fontId="1"/>
  </si>
  <si>
    <t>俘</t>
    <phoneticPr fontId="1"/>
  </si>
  <si>
    <t>俬</t>
    <phoneticPr fontId="1"/>
  </si>
  <si>
    <t>倀</t>
    <phoneticPr fontId="1"/>
  </si>
  <si>
    <t>倔</t>
    <phoneticPr fontId="1"/>
  </si>
  <si>
    <t>倨</t>
    <phoneticPr fontId="1"/>
  </si>
  <si>
    <t>值</t>
    <phoneticPr fontId="1"/>
  </si>
  <si>
    <t>偐</t>
    <phoneticPr fontId="1"/>
  </si>
  <si>
    <t>偤</t>
    <phoneticPr fontId="1"/>
  </si>
  <si>
    <t>偸</t>
    <phoneticPr fontId="1"/>
  </si>
  <si>
    <t>傌</t>
    <phoneticPr fontId="1"/>
  </si>
  <si>
    <t>傠</t>
    <phoneticPr fontId="1"/>
  </si>
  <si>
    <t>傴</t>
    <phoneticPr fontId="1"/>
  </si>
  <si>
    <t>僈</t>
    <phoneticPr fontId="1"/>
  </si>
  <si>
    <t>僜</t>
    <phoneticPr fontId="1"/>
  </si>
  <si>
    <t>僰</t>
    <phoneticPr fontId="1"/>
  </si>
  <si>
    <t>億</t>
    <phoneticPr fontId="1"/>
  </si>
  <si>
    <t>儘</t>
    <phoneticPr fontId="1"/>
  </si>
  <si>
    <t>儬</t>
    <phoneticPr fontId="1"/>
  </si>
  <si>
    <t>兀</t>
    <phoneticPr fontId="1"/>
  </si>
  <si>
    <t>兔</t>
    <phoneticPr fontId="1"/>
  </si>
  <si>
    <t>全</t>
    <phoneticPr fontId="1"/>
  </si>
  <si>
    <t>兼</t>
    <phoneticPr fontId="1"/>
  </si>
  <si>
    <t>冐</t>
    <phoneticPr fontId="1"/>
  </si>
  <si>
    <t>冤</t>
    <phoneticPr fontId="1"/>
  </si>
  <si>
    <t>冸</t>
    <phoneticPr fontId="1"/>
  </si>
  <si>
    <t>凌</t>
    <phoneticPr fontId="1"/>
  </si>
  <si>
    <t>几</t>
    <phoneticPr fontId="1"/>
  </si>
  <si>
    <t>凴</t>
    <phoneticPr fontId="1"/>
  </si>
  <si>
    <t>刈</t>
    <phoneticPr fontId="1"/>
  </si>
  <si>
    <t>刜</t>
    <phoneticPr fontId="1"/>
  </si>
  <si>
    <t>到</t>
    <phoneticPr fontId="1"/>
  </si>
  <si>
    <t>剄</t>
    <phoneticPr fontId="1"/>
  </si>
  <si>
    <t>剘</t>
    <phoneticPr fontId="1"/>
  </si>
  <si>
    <t>剬</t>
    <phoneticPr fontId="1"/>
  </si>
  <si>
    <t>劀</t>
    <phoneticPr fontId="1"/>
  </si>
  <si>
    <t>劔</t>
    <phoneticPr fontId="1"/>
  </si>
  <si>
    <t>动</t>
    <phoneticPr fontId="1"/>
  </si>
  <si>
    <t>劼</t>
    <phoneticPr fontId="1"/>
  </si>
  <si>
    <t>勐</t>
    <phoneticPr fontId="1"/>
  </si>
  <si>
    <t>勤</t>
    <phoneticPr fontId="1"/>
  </si>
  <si>
    <t>勸</t>
    <phoneticPr fontId="1"/>
  </si>
  <si>
    <t>匌</t>
    <phoneticPr fontId="1"/>
  </si>
  <si>
    <t>匠</t>
    <phoneticPr fontId="1"/>
  </si>
  <si>
    <t>匴</t>
    <phoneticPr fontId="1"/>
  </si>
  <si>
    <t>午</t>
    <phoneticPr fontId="1"/>
  </si>
  <si>
    <t>卜</t>
    <phoneticPr fontId="1"/>
  </si>
  <si>
    <t>印</t>
    <phoneticPr fontId="1"/>
  </si>
  <si>
    <t>Ｎ</t>
    <phoneticPr fontId="1"/>
  </si>
  <si>
    <t>不</t>
    <phoneticPr fontId="1"/>
  </si>
  <si>
    <t>両</t>
    <phoneticPr fontId="1"/>
  </si>
  <si>
    <t>丵</t>
    <phoneticPr fontId="1"/>
  </si>
  <si>
    <t>义</t>
    <phoneticPr fontId="1"/>
  </si>
  <si>
    <t>九</t>
    <phoneticPr fontId="1"/>
  </si>
  <si>
    <t>乱</t>
    <phoneticPr fontId="1"/>
  </si>
  <si>
    <t>亅</t>
    <phoneticPr fontId="1"/>
  </si>
  <si>
    <t>亙</t>
    <phoneticPr fontId="1"/>
  </si>
  <si>
    <t>亭</t>
    <phoneticPr fontId="1"/>
  </si>
  <si>
    <t>仁</t>
    <phoneticPr fontId="1"/>
  </si>
  <si>
    <t>仕</t>
    <phoneticPr fontId="1"/>
  </si>
  <si>
    <t>仩</t>
    <phoneticPr fontId="1"/>
  </si>
  <si>
    <t>份</t>
    <phoneticPr fontId="1"/>
  </si>
  <si>
    <t>休</t>
    <phoneticPr fontId="1"/>
  </si>
  <si>
    <t>伥</t>
    <phoneticPr fontId="1"/>
  </si>
  <si>
    <t>伹</t>
    <phoneticPr fontId="1"/>
  </si>
  <si>
    <t>位</t>
    <phoneticPr fontId="1"/>
  </si>
  <si>
    <t>佡</t>
    <phoneticPr fontId="1"/>
  </si>
  <si>
    <t>併</t>
    <phoneticPr fontId="1"/>
  </si>
  <si>
    <t>侉</t>
    <phoneticPr fontId="1"/>
  </si>
  <si>
    <t>依</t>
    <phoneticPr fontId="1"/>
  </si>
  <si>
    <t>侱</t>
    <phoneticPr fontId="1"/>
  </si>
  <si>
    <t>俅</t>
    <phoneticPr fontId="1"/>
  </si>
  <si>
    <t>俙</t>
    <phoneticPr fontId="1"/>
  </si>
  <si>
    <t>俭</t>
    <phoneticPr fontId="1"/>
  </si>
  <si>
    <t>倁</t>
    <phoneticPr fontId="1"/>
  </si>
  <si>
    <t>倕</t>
    <phoneticPr fontId="1"/>
  </si>
  <si>
    <t>倩</t>
    <phoneticPr fontId="1"/>
  </si>
  <si>
    <t>倽</t>
    <phoneticPr fontId="1"/>
  </si>
  <si>
    <t>偑</t>
    <phoneticPr fontId="1"/>
  </si>
  <si>
    <t>健</t>
    <phoneticPr fontId="1"/>
  </si>
  <si>
    <t>偹</t>
    <phoneticPr fontId="1"/>
  </si>
  <si>
    <t>傡</t>
    <phoneticPr fontId="1"/>
  </si>
  <si>
    <t>債</t>
    <phoneticPr fontId="1"/>
  </si>
  <si>
    <t>僉</t>
    <phoneticPr fontId="1"/>
  </si>
  <si>
    <t>僝</t>
    <phoneticPr fontId="1"/>
  </si>
  <si>
    <t>僱</t>
    <phoneticPr fontId="1"/>
  </si>
  <si>
    <t>儅</t>
    <phoneticPr fontId="1"/>
  </si>
  <si>
    <t>儙</t>
    <phoneticPr fontId="1"/>
  </si>
  <si>
    <t>儭</t>
    <phoneticPr fontId="1"/>
  </si>
  <si>
    <t>允</t>
    <phoneticPr fontId="1"/>
  </si>
  <si>
    <t>兕</t>
    <phoneticPr fontId="1"/>
  </si>
  <si>
    <t>兩</t>
    <phoneticPr fontId="1"/>
  </si>
  <si>
    <t>兽</t>
    <phoneticPr fontId="1"/>
  </si>
  <si>
    <t>冑</t>
    <phoneticPr fontId="1"/>
  </si>
  <si>
    <t>冥</t>
    <phoneticPr fontId="1"/>
  </si>
  <si>
    <t>冹</t>
    <phoneticPr fontId="1"/>
  </si>
  <si>
    <t>凍</t>
    <phoneticPr fontId="1"/>
  </si>
  <si>
    <t>凡</t>
    <phoneticPr fontId="1"/>
  </si>
  <si>
    <t>凵</t>
    <phoneticPr fontId="1"/>
  </si>
  <si>
    <t>刉</t>
    <phoneticPr fontId="1"/>
  </si>
  <si>
    <t>初</t>
    <phoneticPr fontId="1"/>
  </si>
  <si>
    <t>刱</t>
    <phoneticPr fontId="1"/>
  </si>
  <si>
    <t>剅</t>
    <phoneticPr fontId="1"/>
  </si>
  <si>
    <t>剙</t>
    <phoneticPr fontId="1"/>
  </si>
  <si>
    <t>剭</t>
    <phoneticPr fontId="1"/>
  </si>
  <si>
    <t>劁</t>
    <phoneticPr fontId="1"/>
  </si>
  <si>
    <t>劕</t>
    <phoneticPr fontId="1"/>
  </si>
  <si>
    <t>助</t>
    <phoneticPr fontId="1"/>
  </si>
  <si>
    <t>劽</t>
    <phoneticPr fontId="1"/>
  </si>
  <si>
    <t>勑</t>
    <phoneticPr fontId="1"/>
  </si>
  <si>
    <t>勥</t>
    <phoneticPr fontId="1"/>
  </si>
  <si>
    <t>勹</t>
    <phoneticPr fontId="1"/>
  </si>
  <si>
    <t>匍</t>
    <phoneticPr fontId="1"/>
  </si>
  <si>
    <t>匡</t>
    <phoneticPr fontId="1"/>
  </si>
  <si>
    <t>匵</t>
    <phoneticPr fontId="1"/>
  </si>
  <si>
    <t>卉</t>
    <phoneticPr fontId="1"/>
  </si>
  <si>
    <t>卝</t>
    <phoneticPr fontId="1"/>
  </si>
  <si>
    <t>危</t>
    <phoneticPr fontId="1"/>
  </si>
  <si>
    <t>Ｏ</t>
    <phoneticPr fontId="1"/>
  </si>
  <si>
    <t>与</t>
  </si>
  <si>
    <t>丢</t>
    <phoneticPr fontId="1"/>
  </si>
  <si>
    <t>丶</t>
    <phoneticPr fontId="1"/>
  </si>
  <si>
    <t>乊</t>
    <phoneticPr fontId="1"/>
  </si>
  <si>
    <t>乞</t>
    <phoneticPr fontId="1"/>
  </si>
  <si>
    <t>乲</t>
    <phoneticPr fontId="1"/>
  </si>
  <si>
    <t>了</t>
  </si>
  <si>
    <t>亚</t>
    <phoneticPr fontId="1"/>
  </si>
  <si>
    <t>亮</t>
    <phoneticPr fontId="1"/>
  </si>
  <si>
    <t>仂</t>
    <phoneticPr fontId="1"/>
  </si>
  <si>
    <t>他</t>
    <phoneticPr fontId="1"/>
  </si>
  <si>
    <t>仪</t>
    <phoneticPr fontId="1"/>
  </si>
  <si>
    <t>仾</t>
    <phoneticPr fontId="1"/>
  </si>
  <si>
    <t>伒</t>
    <phoneticPr fontId="1"/>
  </si>
  <si>
    <t>伦</t>
    <phoneticPr fontId="1"/>
  </si>
  <si>
    <t>伺</t>
    <phoneticPr fontId="1"/>
  </si>
  <si>
    <t>低</t>
    <phoneticPr fontId="1"/>
  </si>
  <si>
    <t>佢</t>
    <phoneticPr fontId="1"/>
  </si>
  <si>
    <t>佶</t>
    <phoneticPr fontId="1"/>
  </si>
  <si>
    <t>侊</t>
    <phoneticPr fontId="1"/>
  </si>
  <si>
    <t>侞</t>
    <phoneticPr fontId="1"/>
  </si>
  <si>
    <t>侲</t>
    <phoneticPr fontId="1"/>
  </si>
  <si>
    <t>俆</t>
    <phoneticPr fontId="1"/>
  </si>
  <si>
    <t>俚</t>
    <phoneticPr fontId="1"/>
  </si>
  <si>
    <t>修</t>
    <phoneticPr fontId="1"/>
  </si>
  <si>
    <t>倂</t>
    <phoneticPr fontId="1"/>
  </si>
  <si>
    <t>倖</t>
    <phoneticPr fontId="1"/>
  </si>
  <si>
    <t>倪</t>
    <phoneticPr fontId="1"/>
  </si>
  <si>
    <t>倾</t>
    <phoneticPr fontId="1"/>
  </si>
  <si>
    <t>偒</t>
    <phoneticPr fontId="1"/>
  </si>
  <si>
    <t>偦</t>
    <phoneticPr fontId="1"/>
  </si>
  <si>
    <t>偺</t>
    <phoneticPr fontId="1"/>
  </si>
  <si>
    <t>傎</t>
    <phoneticPr fontId="1"/>
  </si>
  <si>
    <t>傢</t>
    <phoneticPr fontId="1"/>
  </si>
  <si>
    <t>傶</t>
    <phoneticPr fontId="1"/>
  </si>
  <si>
    <t>僊</t>
    <phoneticPr fontId="1"/>
  </si>
  <si>
    <t>僞</t>
    <phoneticPr fontId="1"/>
  </si>
  <si>
    <t>僲</t>
    <phoneticPr fontId="1"/>
  </si>
  <si>
    <t>儆</t>
    <phoneticPr fontId="1"/>
  </si>
  <si>
    <t>儚</t>
    <phoneticPr fontId="1"/>
  </si>
  <si>
    <t>儮</t>
    <phoneticPr fontId="1"/>
  </si>
  <si>
    <t>兂</t>
    <phoneticPr fontId="1"/>
  </si>
  <si>
    <t>兖</t>
    <phoneticPr fontId="1"/>
  </si>
  <si>
    <t>兪</t>
    <phoneticPr fontId="1"/>
  </si>
  <si>
    <t>兾</t>
    <phoneticPr fontId="1"/>
  </si>
  <si>
    <t>冒</t>
    <phoneticPr fontId="1"/>
  </si>
  <si>
    <t>冦</t>
    <phoneticPr fontId="1"/>
  </si>
  <si>
    <t>冺</t>
    <phoneticPr fontId="1"/>
  </si>
  <si>
    <t>凎</t>
    <phoneticPr fontId="1"/>
  </si>
  <si>
    <t>凢</t>
    <phoneticPr fontId="1"/>
  </si>
  <si>
    <t>凶</t>
    <phoneticPr fontId="1"/>
  </si>
  <si>
    <t>刊</t>
    <phoneticPr fontId="1"/>
  </si>
  <si>
    <t>刞</t>
    <phoneticPr fontId="1"/>
  </si>
  <si>
    <t>刲</t>
    <phoneticPr fontId="1"/>
  </si>
  <si>
    <t>剆</t>
    <phoneticPr fontId="1"/>
  </si>
  <si>
    <t>剚</t>
    <phoneticPr fontId="1"/>
  </si>
  <si>
    <t>剮</t>
    <phoneticPr fontId="1"/>
  </si>
  <si>
    <t>劂</t>
    <phoneticPr fontId="1"/>
  </si>
  <si>
    <t>劖</t>
    <phoneticPr fontId="1"/>
  </si>
  <si>
    <t>努</t>
    <phoneticPr fontId="1"/>
  </si>
  <si>
    <t>劾</t>
    <phoneticPr fontId="1"/>
  </si>
  <si>
    <t>勒</t>
    <phoneticPr fontId="1"/>
  </si>
  <si>
    <t>勦</t>
    <phoneticPr fontId="1"/>
  </si>
  <si>
    <t>勺</t>
    <phoneticPr fontId="1"/>
  </si>
  <si>
    <t>匎</t>
    <phoneticPr fontId="1"/>
  </si>
  <si>
    <t>匢</t>
    <phoneticPr fontId="1"/>
  </si>
  <si>
    <t>匶</t>
    <phoneticPr fontId="1"/>
  </si>
  <si>
    <t>半</t>
    <phoneticPr fontId="1"/>
  </si>
  <si>
    <t>卞</t>
    <phoneticPr fontId="1"/>
  </si>
  <si>
    <t>卲</t>
    <phoneticPr fontId="1"/>
  </si>
  <si>
    <t>Ｐ</t>
    <phoneticPr fontId="1"/>
  </si>
  <si>
    <t>丏</t>
    <phoneticPr fontId="1"/>
  </si>
  <si>
    <t>丣</t>
    <phoneticPr fontId="1"/>
  </si>
  <si>
    <t>丷</t>
    <phoneticPr fontId="1"/>
  </si>
  <si>
    <t>之</t>
    <phoneticPr fontId="1"/>
  </si>
  <si>
    <t>也</t>
    <phoneticPr fontId="1"/>
  </si>
  <si>
    <t>乳</t>
    <phoneticPr fontId="1"/>
  </si>
  <si>
    <t>亇</t>
    <phoneticPr fontId="1"/>
  </si>
  <si>
    <t>些</t>
    <phoneticPr fontId="1"/>
  </si>
  <si>
    <t>亯</t>
    <phoneticPr fontId="1"/>
  </si>
  <si>
    <t>仃</t>
    <phoneticPr fontId="1"/>
  </si>
  <si>
    <t>仗</t>
    <phoneticPr fontId="1"/>
  </si>
  <si>
    <t>仫</t>
    <phoneticPr fontId="1"/>
  </si>
  <si>
    <t>仿</t>
    <phoneticPr fontId="1"/>
  </si>
  <si>
    <t>伓</t>
    <phoneticPr fontId="1"/>
  </si>
  <si>
    <t>伧</t>
    <phoneticPr fontId="1"/>
  </si>
  <si>
    <t>伻</t>
    <phoneticPr fontId="1"/>
  </si>
  <si>
    <t>住</t>
    <phoneticPr fontId="1"/>
  </si>
  <si>
    <t>佣</t>
    <phoneticPr fontId="1"/>
  </si>
  <si>
    <t>佷</t>
    <phoneticPr fontId="1"/>
  </si>
  <si>
    <t>例</t>
    <phoneticPr fontId="1"/>
  </si>
  <si>
    <t>侟</t>
    <phoneticPr fontId="1"/>
  </si>
  <si>
    <t>侳</t>
    <phoneticPr fontId="1"/>
  </si>
  <si>
    <t>俇</t>
    <phoneticPr fontId="1"/>
  </si>
  <si>
    <t>俛</t>
    <phoneticPr fontId="1"/>
  </si>
  <si>
    <t>俯</t>
    <phoneticPr fontId="1"/>
  </si>
  <si>
    <t>倃</t>
    <phoneticPr fontId="1"/>
  </si>
  <si>
    <t>倗</t>
    <phoneticPr fontId="1"/>
  </si>
  <si>
    <t>倫</t>
    <phoneticPr fontId="1"/>
  </si>
  <si>
    <t>倿</t>
    <phoneticPr fontId="1"/>
  </si>
  <si>
    <t>偓</t>
    <phoneticPr fontId="1"/>
  </si>
  <si>
    <t>偧</t>
    <phoneticPr fontId="1"/>
  </si>
  <si>
    <t>偻</t>
    <phoneticPr fontId="1"/>
  </si>
  <si>
    <t>傏</t>
    <phoneticPr fontId="1"/>
  </si>
  <si>
    <t>傣</t>
    <phoneticPr fontId="1"/>
  </si>
  <si>
    <t>傷</t>
    <phoneticPr fontId="1"/>
  </si>
  <si>
    <t>僋</t>
    <phoneticPr fontId="1"/>
  </si>
  <si>
    <t>僟</t>
    <phoneticPr fontId="1"/>
  </si>
  <si>
    <t>僳</t>
    <phoneticPr fontId="1"/>
  </si>
  <si>
    <t>儇</t>
    <phoneticPr fontId="1"/>
  </si>
  <si>
    <t>儛</t>
    <phoneticPr fontId="1"/>
  </si>
  <si>
    <t>儯</t>
    <phoneticPr fontId="1"/>
  </si>
  <si>
    <t>元</t>
    <phoneticPr fontId="1"/>
  </si>
  <si>
    <t>兗</t>
    <phoneticPr fontId="1"/>
  </si>
  <si>
    <t>八</t>
    <phoneticPr fontId="1"/>
  </si>
  <si>
    <t>兿</t>
    <phoneticPr fontId="1"/>
  </si>
  <si>
    <t>冓</t>
    <phoneticPr fontId="1"/>
  </si>
  <si>
    <t>冧</t>
    <phoneticPr fontId="1"/>
  </si>
  <si>
    <t>冻</t>
    <phoneticPr fontId="1"/>
  </si>
  <si>
    <t>减</t>
    <phoneticPr fontId="1"/>
  </si>
  <si>
    <t>凣</t>
    <phoneticPr fontId="1"/>
  </si>
  <si>
    <t>凷</t>
    <phoneticPr fontId="1"/>
  </si>
  <si>
    <t>刋</t>
    <phoneticPr fontId="1"/>
  </si>
  <si>
    <t>刳</t>
    <phoneticPr fontId="1"/>
  </si>
  <si>
    <t>則</t>
    <phoneticPr fontId="1"/>
  </si>
  <si>
    <t>剛</t>
    <phoneticPr fontId="1"/>
  </si>
  <si>
    <t>副</t>
    <phoneticPr fontId="1"/>
  </si>
  <si>
    <t>劃</t>
    <phoneticPr fontId="1"/>
  </si>
  <si>
    <t>劗</t>
    <phoneticPr fontId="1"/>
  </si>
  <si>
    <t>劫</t>
    <phoneticPr fontId="1"/>
  </si>
  <si>
    <t>势</t>
    <phoneticPr fontId="1"/>
  </si>
  <si>
    <t>勓</t>
    <phoneticPr fontId="1"/>
  </si>
  <si>
    <t>勧</t>
    <phoneticPr fontId="1"/>
  </si>
  <si>
    <t>勻</t>
    <phoneticPr fontId="1"/>
  </si>
  <si>
    <t>匏</t>
    <phoneticPr fontId="1"/>
  </si>
  <si>
    <t>匣</t>
    <phoneticPr fontId="1"/>
  </si>
  <si>
    <t>匷</t>
    <phoneticPr fontId="1"/>
  </si>
  <si>
    <t>卋</t>
    <phoneticPr fontId="1"/>
  </si>
  <si>
    <t>卟</t>
    <phoneticPr fontId="1"/>
  </si>
  <si>
    <t>即</t>
    <phoneticPr fontId="1"/>
  </si>
  <si>
    <t>Ｑ</t>
    <phoneticPr fontId="1"/>
  </si>
  <si>
    <t>丐</t>
    <phoneticPr fontId="1"/>
  </si>
  <si>
    <t>两</t>
    <phoneticPr fontId="1"/>
  </si>
  <si>
    <t>丸</t>
    <phoneticPr fontId="1"/>
  </si>
  <si>
    <t>乌</t>
    <phoneticPr fontId="1"/>
  </si>
  <si>
    <t>习</t>
    <phoneticPr fontId="1"/>
  </si>
  <si>
    <t>乴</t>
    <phoneticPr fontId="1"/>
  </si>
  <si>
    <t>予</t>
    <phoneticPr fontId="1"/>
  </si>
  <si>
    <t>亜</t>
    <phoneticPr fontId="1"/>
  </si>
  <si>
    <t>亰</t>
    <phoneticPr fontId="1"/>
  </si>
  <si>
    <t>仄</t>
    <phoneticPr fontId="1"/>
  </si>
  <si>
    <t>付</t>
    <phoneticPr fontId="1"/>
  </si>
  <si>
    <t>们</t>
    <phoneticPr fontId="1"/>
  </si>
  <si>
    <t>伀</t>
    <phoneticPr fontId="1"/>
  </si>
  <si>
    <t>伔</t>
    <phoneticPr fontId="1"/>
  </si>
  <si>
    <t>伨</t>
    <phoneticPr fontId="1"/>
  </si>
  <si>
    <t>似</t>
    <phoneticPr fontId="1"/>
  </si>
  <si>
    <t>佐</t>
    <phoneticPr fontId="1"/>
  </si>
  <si>
    <t>佤</t>
    <phoneticPr fontId="1"/>
  </si>
  <si>
    <t>佸</t>
    <phoneticPr fontId="1"/>
  </si>
  <si>
    <t>侌</t>
    <phoneticPr fontId="1"/>
  </si>
  <si>
    <t>侠</t>
    <phoneticPr fontId="1"/>
  </si>
  <si>
    <t>侴</t>
    <phoneticPr fontId="1"/>
  </si>
  <si>
    <t>俈</t>
    <phoneticPr fontId="1"/>
  </si>
  <si>
    <t>俜</t>
    <phoneticPr fontId="1"/>
  </si>
  <si>
    <t>俰</t>
    <phoneticPr fontId="1"/>
  </si>
  <si>
    <t>倄</t>
    <phoneticPr fontId="1"/>
  </si>
  <si>
    <t>倘</t>
    <phoneticPr fontId="1"/>
  </si>
  <si>
    <t>倬</t>
    <phoneticPr fontId="1"/>
  </si>
  <si>
    <t>偀</t>
    <phoneticPr fontId="1"/>
  </si>
  <si>
    <t>偔</t>
    <phoneticPr fontId="1"/>
  </si>
  <si>
    <t>偨</t>
    <phoneticPr fontId="1"/>
  </si>
  <si>
    <t>偼</t>
    <phoneticPr fontId="1"/>
  </si>
  <si>
    <t>傐</t>
    <phoneticPr fontId="1"/>
  </si>
  <si>
    <t>傤</t>
    <phoneticPr fontId="1"/>
  </si>
  <si>
    <t>傸</t>
    <phoneticPr fontId="1"/>
  </si>
  <si>
    <t>僌</t>
    <phoneticPr fontId="1"/>
  </si>
  <si>
    <t>僠</t>
    <phoneticPr fontId="1"/>
  </si>
  <si>
    <t>僴</t>
    <phoneticPr fontId="1"/>
  </si>
  <si>
    <t>儈</t>
    <phoneticPr fontId="1"/>
  </si>
  <si>
    <t>儜</t>
    <phoneticPr fontId="1"/>
  </si>
  <si>
    <t>儰</t>
    <phoneticPr fontId="1"/>
  </si>
  <si>
    <t>兄</t>
    <phoneticPr fontId="1"/>
  </si>
  <si>
    <t>兘</t>
    <phoneticPr fontId="1"/>
  </si>
  <si>
    <t>公</t>
    <phoneticPr fontId="1"/>
  </si>
  <si>
    <t>冀</t>
    <phoneticPr fontId="1"/>
  </si>
  <si>
    <t>冔</t>
    <phoneticPr fontId="1"/>
  </si>
  <si>
    <t>冨</t>
    <phoneticPr fontId="1"/>
  </si>
  <si>
    <t>冼</t>
    <phoneticPr fontId="1"/>
  </si>
  <si>
    <t>凐</t>
    <phoneticPr fontId="1"/>
  </si>
  <si>
    <t>凤</t>
    <phoneticPr fontId="1"/>
  </si>
  <si>
    <t>凸</t>
    <phoneticPr fontId="1"/>
  </si>
  <si>
    <t>刌</t>
    <phoneticPr fontId="1"/>
  </si>
  <si>
    <t>删</t>
    <phoneticPr fontId="1"/>
  </si>
  <si>
    <t>刴</t>
    <phoneticPr fontId="1"/>
  </si>
  <si>
    <t>剈</t>
    <phoneticPr fontId="1"/>
  </si>
  <si>
    <t>剜</t>
    <phoneticPr fontId="1"/>
  </si>
  <si>
    <t>剰</t>
    <phoneticPr fontId="1"/>
  </si>
  <si>
    <t>劄</t>
    <phoneticPr fontId="1"/>
  </si>
  <si>
    <t>劘</t>
    <phoneticPr fontId="1"/>
  </si>
  <si>
    <t>劬</t>
    <phoneticPr fontId="1"/>
  </si>
  <si>
    <t>勀</t>
    <phoneticPr fontId="1"/>
  </si>
  <si>
    <t>勔</t>
    <phoneticPr fontId="1"/>
  </si>
  <si>
    <t>勨</t>
    <phoneticPr fontId="1"/>
  </si>
  <si>
    <t>勼</t>
    <phoneticPr fontId="1"/>
  </si>
  <si>
    <t>匐</t>
    <phoneticPr fontId="1"/>
  </si>
  <si>
    <t>匤</t>
    <phoneticPr fontId="1"/>
  </si>
  <si>
    <t>匸</t>
    <phoneticPr fontId="1"/>
  </si>
  <si>
    <t>卌</t>
    <phoneticPr fontId="1"/>
  </si>
  <si>
    <t>占</t>
    <phoneticPr fontId="1"/>
  </si>
  <si>
    <t>却</t>
    <phoneticPr fontId="1"/>
  </si>
  <si>
    <t>Ｒ</t>
    <phoneticPr fontId="1"/>
  </si>
  <si>
    <t>丑</t>
    <phoneticPr fontId="1"/>
  </si>
  <si>
    <t>严</t>
    <phoneticPr fontId="1"/>
  </si>
  <si>
    <t>丹</t>
    <phoneticPr fontId="1"/>
  </si>
  <si>
    <t>乍</t>
    <phoneticPr fontId="1"/>
  </si>
  <si>
    <t>乡</t>
    <phoneticPr fontId="1"/>
  </si>
  <si>
    <t>乵</t>
    <phoneticPr fontId="1"/>
  </si>
  <si>
    <t>争</t>
    <phoneticPr fontId="1"/>
  </si>
  <si>
    <t>亝</t>
    <phoneticPr fontId="1"/>
  </si>
  <si>
    <t>亱</t>
    <phoneticPr fontId="1"/>
  </si>
  <si>
    <t>仅</t>
    <phoneticPr fontId="1"/>
  </si>
  <si>
    <t>仙</t>
    <phoneticPr fontId="1"/>
  </si>
  <si>
    <t>仭</t>
    <phoneticPr fontId="1"/>
  </si>
  <si>
    <t>企</t>
    <phoneticPr fontId="1"/>
  </si>
  <si>
    <t>伕</t>
    <phoneticPr fontId="1"/>
  </si>
  <si>
    <t>伩</t>
    <phoneticPr fontId="1"/>
  </si>
  <si>
    <t>伽</t>
    <phoneticPr fontId="1"/>
  </si>
  <si>
    <t>佑</t>
    <phoneticPr fontId="1"/>
  </si>
  <si>
    <t>佥</t>
    <phoneticPr fontId="1"/>
  </si>
  <si>
    <t>佹</t>
    <phoneticPr fontId="1"/>
  </si>
  <si>
    <t>侍</t>
    <phoneticPr fontId="1"/>
  </si>
  <si>
    <t>価</t>
    <phoneticPr fontId="1"/>
  </si>
  <si>
    <t>侵</t>
    <phoneticPr fontId="1"/>
  </si>
  <si>
    <t>俉</t>
    <phoneticPr fontId="1"/>
  </si>
  <si>
    <t>保</t>
    <phoneticPr fontId="1"/>
  </si>
  <si>
    <t>俱</t>
    <phoneticPr fontId="1"/>
  </si>
  <si>
    <t>倅</t>
    <phoneticPr fontId="1"/>
  </si>
  <si>
    <t>候</t>
    <phoneticPr fontId="1"/>
  </si>
  <si>
    <t>倭</t>
    <phoneticPr fontId="1"/>
  </si>
  <si>
    <t>偁</t>
    <phoneticPr fontId="1"/>
  </si>
  <si>
    <t>偕</t>
    <phoneticPr fontId="1"/>
  </si>
  <si>
    <t>偩</t>
    <phoneticPr fontId="1"/>
  </si>
  <si>
    <t>偽</t>
    <phoneticPr fontId="1"/>
  </si>
  <si>
    <t>傑</t>
    <phoneticPr fontId="1"/>
  </si>
  <si>
    <t>傥</t>
    <phoneticPr fontId="1"/>
  </si>
  <si>
    <t>傹</t>
    <phoneticPr fontId="1"/>
  </si>
  <si>
    <t>働</t>
    <phoneticPr fontId="1"/>
  </si>
  <si>
    <t>僡</t>
    <phoneticPr fontId="1"/>
  </si>
  <si>
    <t>僵</t>
    <phoneticPr fontId="1"/>
  </si>
  <si>
    <t>儉</t>
    <phoneticPr fontId="1"/>
  </si>
  <si>
    <t>儝</t>
    <phoneticPr fontId="1"/>
  </si>
  <si>
    <t>儱</t>
  </si>
  <si>
    <t>充</t>
    <phoneticPr fontId="1"/>
  </si>
  <si>
    <t>兙</t>
    <phoneticPr fontId="1"/>
  </si>
  <si>
    <t>六</t>
    <phoneticPr fontId="1"/>
  </si>
  <si>
    <t>冁</t>
    <phoneticPr fontId="1"/>
  </si>
  <si>
    <t>冕</t>
    <phoneticPr fontId="1"/>
  </si>
  <si>
    <t>冩</t>
    <phoneticPr fontId="1"/>
  </si>
  <si>
    <t>冽</t>
    <phoneticPr fontId="1"/>
  </si>
  <si>
    <t>凑</t>
    <phoneticPr fontId="1"/>
  </si>
  <si>
    <t>凥</t>
    <phoneticPr fontId="1"/>
  </si>
  <si>
    <t>凹</t>
    <phoneticPr fontId="1"/>
  </si>
  <si>
    <t>刍</t>
    <phoneticPr fontId="1"/>
  </si>
  <si>
    <t>刡</t>
    <phoneticPr fontId="1"/>
  </si>
  <si>
    <t>刵</t>
    <phoneticPr fontId="1"/>
  </si>
  <si>
    <t>剉</t>
    <phoneticPr fontId="1"/>
  </si>
  <si>
    <t>剝</t>
    <phoneticPr fontId="1"/>
  </si>
  <si>
    <t>剱</t>
    <phoneticPr fontId="1"/>
  </si>
  <si>
    <t>劅</t>
    <phoneticPr fontId="1"/>
  </si>
  <si>
    <t>劙</t>
    <phoneticPr fontId="1"/>
  </si>
  <si>
    <t>劭</t>
    <phoneticPr fontId="1"/>
  </si>
  <si>
    <t>勁</t>
    <phoneticPr fontId="1"/>
  </si>
  <si>
    <t>動</t>
    <phoneticPr fontId="1"/>
  </si>
  <si>
    <t>勩</t>
    <phoneticPr fontId="1"/>
  </si>
  <si>
    <t>勽</t>
    <phoneticPr fontId="1"/>
  </si>
  <si>
    <t>匑</t>
    <phoneticPr fontId="1"/>
  </si>
  <si>
    <t>匥</t>
    <phoneticPr fontId="1"/>
  </si>
  <si>
    <t>匹</t>
    <phoneticPr fontId="1"/>
  </si>
  <si>
    <t>卍</t>
    <phoneticPr fontId="1"/>
  </si>
  <si>
    <t>卡</t>
    <phoneticPr fontId="1"/>
  </si>
  <si>
    <t>卵</t>
    <phoneticPr fontId="1"/>
  </si>
  <si>
    <t>Ｓ</t>
    <phoneticPr fontId="1"/>
  </si>
  <si>
    <t>丒</t>
    <phoneticPr fontId="1"/>
  </si>
  <si>
    <t>並</t>
    <phoneticPr fontId="1"/>
  </si>
  <si>
    <t>为</t>
    <phoneticPr fontId="1"/>
  </si>
  <si>
    <t>乎</t>
    <phoneticPr fontId="1"/>
  </si>
  <si>
    <t>乢</t>
    <phoneticPr fontId="1"/>
  </si>
  <si>
    <t>乶</t>
    <phoneticPr fontId="1"/>
  </si>
  <si>
    <t>亊</t>
    <phoneticPr fontId="1"/>
  </si>
  <si>
    <t>亞</t>
    <phoneticPr fontId="1"/>
  </si>
  <si>
    <t>亲</t>
    <phoneticPr fontId="1"/>
  </si>
  <si>
    <t>仆</t>
    <phoneticPr fontId="1"/>
  </si>
  <si>
    <t>仚</t>
    <phoneticPr fontId="1"/>
  </si>
  <si>
    <t>仮</t>
    <phoneticPr fontId="1"/>
  </si>
  <si>
    <t>伂</t>
    <phoneticPr fontId="1"/>
  </si>
  <si>
    <t>伖</t>
    <phoneticPr fontId="1"/>
  </si>
  <si>
    <t>伪</t>
    <phoneticPr fontId="1"/>
  </si>
  <si>
    <t>伾</t>
    <phoneticPr fontId="1"/>
  </si>
  <si>
    <t>佒</t>
    <phoneticPr fontId="1"/>
  </si>
  <si>
    <t>佦</t>
    <phoneticPr fontId="1"/>
  </si>
  <si>
    <t>佺</t>
    <phoneticPr fontId="1"/>
  </si>
  <si>
    <t>侎</t>
    <phoneticPr fontId="1"/>
  </si>
  <si>
    <t>侢</t>
    <phoneticPr fontId="1"/>
  </si>
  <si>
    <t>侶</t>
    <phoneticPr fontId="1"/>
  </si>
  <si>
    <t>俊</t>
    <phoneticPr fontId="1"/>
  </si>
  <si>
    <t>俞</t>
    <phoneticPr fontId="1"/>
  </si>
  <si>
    <t>俲</t>
    <phoneticPr fontId="1"/>
  </si>
  <si>
    <t>倆</t>
    <phoneticPr fontId="1"/>
  </si>
  <si>
    <t>倚</t>
    <phoneticPr fontId="1"/>
  </si>
  <si>
    <t>倮</t>
    <phoneticPr fontId="1"/>
  </si>
  <si>
    <t>偂</t>
    <phoneticPr fontId="1"/>
  </si>
  <si>
    <t>偖</t>
    <phoneticPr fontId="1"/>
  </si>
  <si>
    <t>偪</t>
    <phoneticPr fontId="1"/>
  </si>
  <si>
    <t>偾</t>
    <phoneticPr fontId="1"/>
  </si>
  <si>
    <t>傒</t>
    <phoneticPr fontId="1"/>
  </si>
  <si>
    <t>傦</t>
    <phoneticPr fontId="1"/>
  </si>
  <si>
    <t>傺</t>
    <phoneticPr fontId="1"/>
  </si>
  <si>
    <t>僎</t>
    <phoneticPr fontId="1"/>
  </si>
  <si>
    <t>僢</t>
    <phoneticPr fontId="1"/>
  </si>
  <si>
    <t>僶</t>
    <phoneticPr fontId="1"/>
  </si>
  <si>
    <t>儊</t>
    <phoneticPr fontId="1"/>
  </si>
  <si>
    <t>儞</t>
    <phoneticPr fontId="1"/>
  </si>
  <si>
    <t>儲</t>
    <phoneticPr fontId="1"/>
  </si>
  <si>
    <t>兆</t>
    <phoneticPr fontId="1"/>
  </si>
  <si>
    <t>党</t>
    <phoneticPr fontId="1"/>
  </si>
  <si>
    <t>兮</t>
    <phoneticPr fontId="1"/>
  </si>
  <si>
    <t>冂</t>
    <phoneticPr fontId="1"/>
  </si>
  <si>
    <t>冖</t>
    <phoneticPr fontId="1"/>
  </si>
  <si>
    <t>冪</t>
    <phoneticPr fontId="1"/>
  </si>
  <si>
    <t>冾</t>
    <phoneticPr fontId="1"/>
  </si>
  <si>
    <t>凒</t>
    <phoneticPr fontId="1"/>
  </si>
  <si>
    <t>処</t>
    <phoneticPr fontId="1"/>
  </si>
  <si>
    <t>出</t>
    <phoneticPr fontId="1"/>
  </si>
  <si>
    <t>刎</t>
    <phoneticPr fontId="1"/>
  </si>
  <si>
    <t>刢</t>
    <phoneticPr fontId="1"/>
  </si>
  <si>
    <t>制</t>
    <phoneticPr fontId="1"/>
  </si>
  <si>
    <t>削</t>
    <phoneticPr fontId="1"/>
  </si>
  <si>
    <t>剞</t>
    <phoneticPr fontId="1"/>
  </si>
  <si>
    <t>割</t>
    <phoneticPr fontId="1"/>
  </si>
  <si>
    <t>劆</t>
    <phoneticPr fontId="1"/>
  </si>
  <si>
    <t>劚</t>
    <phoneticPr fontId="1"/>
  </si>
  <si>
    <t>劮</t>
    <phoneticPr fontId="1"/>
  </si>
  <si>
    <t>勂</t>
    <phoneticPr fontId="1"/>
  </si>
  <si>
    <t>勖</t>
    <phoneticPr fontId="1"/>
  </si>
  <si>
    <t>勪</t>
    <phoneticPr fontId="1"/>
  </si>
  <si>
    <t>勾</t>
    <phoneticPr fontId="1"/>
  </si>
  <si>
    <t>匒</t>
    <phoneticPr fontId="1"/>
  </si>
  <si>
    <t>匦</t>
    <phoneticPr fontId="1"/>
  </si>
  <si>
    <t>区</t>
    <phoneticPr fontId="1"/>
  </si>
  <si>
    <t>华</t>
    <phoneticPr fontId="1"/>
  </si>
  <si>
    <t>卢</t>
    <phoneticPr fontId="1"/>
  </si>
  <si>
    <t>卶</t>
    <phoneticPr fontId="1"/>
  </si>
  <si>
    <t>Ｔ</t>
    <phoneticPr fontId="1"/>
  </si>
  <si>
    <t>专</t>
    <phoneticPr fontId="1"/>
  </si>
  <si>
    <t>丧</t>
    <phoneticPr fontId="1"/>
  </si>
  <si>
    <t>主</t>
    <phoneticPr fontId="1"/>
  </si>
  <si>
    <t>乏</t>
    <phoneticPr fontId="1"/>
  </si>
  <si>
    <t>乣</t>
    <phoneticPr fontId="1"/>
  </si>
  <si>
    <t>乷</t>
    <phoneticPr fontId="1"/>
  </si>
  <si>
    <t>事</t>
    <phoneticPr fontId="1"/>
  </si>
  <si>
    <t>亟</t>
    <phoneticPr fontId="1"/>
  </si>
  <si>
    <t>亳</t>
    <phoneticPr fontId="1"/>
  </si>
  <si>
    <t>間</t>
  </si>
  <si>
    <t>仇</t>
    <phoneticPr fontId="1"/>
  </si>
  <si>
    <t>仛</t>
    <phoneticPr fontId="1"/>
  </si>
  <si>
    <t>仯</t>
    <phoneticPr fontId="1"/>
  </si>
  <si>
    <t>伃</t>
    <phoneticPr fontId="1"/>
  </si>
  <si>
    <t>众</t>
    <phoneticPr fontId="1"/>
  </si>
  <si>
    <t>伫</t>
    <phoneticPr fontId="1"/>
  </si>
  <si>
    <t>伿</t>
    <phoneticPr fontId="1"/>
  </si>
  <si>
    <t>体</t>
    <phoneticPr fontId="1"/>
  </si>
  <si>
    <t>佧</t>
    <phoneticPr fontId="1"/>
  </si>
  <si>
    <t>佻</t>
    <phoneticPr fontId="1"/>
  </si>
  <si>
    <t>侏</t>
    <phoneticPr fontId="1"/>
  </si>
  <si>
    <t>侣</t>
    <phoneticPr fontId="1"/>
  </si>
  <si>
    <t>侷</t>
    <phoneticPr fontId="1"/>
  </si>
  <si>
    <t>俋</t>
    <phoneticPr fontId="1"/>
  </si>
  <si>
    <t>俟</t>
    <phoneticPr fontId="1"/>
  </si>
  <si>
    <t>俳</t>
    <phoneticPr fontId="1"/>
  </si>
  <si>
    <t>倇</t>
    <phoneticPr fontId="1"/>
  </si>
  <si>
    <t>倛</t>
    <phoneticPr fontId="1"/>
  </si>
  <si>
    <t>倯</t>
    <phoneticPr fontId="1"/>
  </si>
  <si>
    <t>偃</t>
    <phoneticPr fontId="1"/>
  </si>
  <si>
    <t>偗</t>
    <phoneticPr fontId="1"/>
  </si>
  <si>
    <t>偫</t>
    <phoneticPr fontId="1"/>
  </si>
  <si>
    <t>偿</t>
    <phoneticPr fontId="1"/>
  </si>
  <si>
    <t>傓</t>
    <phoneticPr fontId="1"/>
  </si>
  <si>
    <t>傧</t>
    <phoneticPr fontId="1"/>
  </si>
  <si>
    <t>傻</t>
    <phoneticPr fontId="1"/>
  </si>
  <si>
    <t>像</t>
    <phoneticPr fontId="1"/>
  </si>
  <si>
    <t>僣</t>
    <phoneticPr fontId="1"/>
  </si>
  <si>
    <t>僷</t>
    <phoneticPr fontId="1"/>
  </si>
  <si>
    <t>儋</t>
    <phoneticPr fontId="1"/>
  </si>
  <si>
    <t>償</t>
    <phoneticPr fontId="1"/>
  </si>
  <si>
    <t>儳</t>
    <phoneticPr fontId="1"/>
  </si>
  <si>
    <t>兇</t>
    <phoneticPr fontId="1"/>
  </si>
  <si>
    <t>兛</t>
    <phoneticPr fontId="1"/>
  </si>
  <si>
    <t>兯</t>
    <phoneticPr fontId="1"/>
  </si>
  <si>
    <t>冃</t>
    <phoneticPr fontId="1"/>
  </si>
  <si>
    <t>冗</t>
    <phoneticPr fontId="1"/>
  </si>
  <si>
    <t>冫</t>
    <phoneticPr fontId="1"/>
  </si>
  <si>
    <t>冿</t>
    <phoneticPr fontId="1"/>
  </si>
  <si>
    <t>凓</t>
    <phoneticPr fontId="1"/>
  </si>
  <si>
    <t>凧</t>
    <phoneticPr fontId="1"/>
  </si>
  <si>
    <t>击</t>
    <phoneticPr fontId="1"/>
  </si>
  <si>
    <t>刏</t>
    <phoneticPr fontId="1"/>
  </si>
  <si>
    <t>刣</t>
    <phoneticPr fontId="1"/>
  </si>
  <si>
    <t>刷</t>
    <phoneticPr fontId="1"/>
  </si>
  <si>
    <t>剋</t>
    <phoneticPr fontId="1"/>
  </si>
  <si>
    <t>剟</t>
    <phoneticPr fontId="1"/>
  </si>
  <si>
    <t>剳</t>
    <phoneticPr fontId="1"/>
  </si>
  <si>
    <t>劇</t>
    <phoneticPr fontId="1"/>
  </si>
  <si>
    <t>力</t>
    <phoneticPr fontId="1"/>
  </si>
  <si>
    <t>劯</t>
    <phoneticPr fontId="1"/>
  </si>
  <si>
    <t>勃</t>
    <phoneticPr fontId="1"/>
  </si>
  <si>
    <t>勗</t>
    <phoneticPr fontId="1"/>
  </si>
  <si>
    <t>勫</t>
    <phoneticPr fontId="1"/>
  </si>
  <si>
    <t>勿</t>
    <phoneticPr fontId="1"/>
  </si>
  <si>
    <t>匓</t>
    <phoneticPr fontId="1"/>
  </si>
  <si>
    <t>匧</t>
    <phoneticPr fontId="1"/>
  </si>
  <si>
    <t>医</t>
    <phoneticPr fontId="1"/>
  </si>
  <si>
    <t>协</t>
    <phoneticPr fontId="1"/>
  </si>
  <si>
    <t>卣</t>
    <phoneticPr fontId="1"/>
  </si>
  <si>
    <t>卷</t>
    <phoneticPr fontId="1"/>
  </si>
  <si>
    <t>ア</t>
  </si>
  <si>
    <t>ィ</t>
  </si>
  <si>
    <t>イ</t>
  </si>
  <si>
    <t>ゥ</t>
  </si>
  <si>
    <t>ウ</t>
  </si>
  <si>
    <t>ェ</t>
  </si>
  <si>
    <t>エ</t>
  </si>
  <si>
    <t>ォ</t>
  </si>
  <si>
    <t>オ</t>
  </si>
  <si>
    <t>カ</t>
  </si>
  <si>
    <t>ガ</t>
  </si>
  <si>
    <t>キ</t>
  </si>
  <si>
    <t>ギ</t>
  </si>
  <si>
    <t>ク</t>
  </si>
  <si>
    <t>グ</t>
  </si>
  <si>
    <t>ケ</t>
  </si>
  <si>
    <t>ゲ</t>
  </si>
  <si>
    <t>コ</t>
  </si>
  <si>
    <t>ゴ</t>
  </si>
  <si>
    <t>サ</t>
  </si>
  <si>
    <t>ザ</t>
  </si>
  <si>
    <t>シ</t>
  </si>
  <si>
    <t>ジ</t>
  </si>
  <si>
    <t>ス</t>
  </si>
  <si>
    <t>ズ</t>
  </si>
  <si>
    <t>セ</t>
  </si>
  <si>
    <t>ゼ</t>
  </si>
  <si>
    <t>ソ</t>
  </si>
  <si>
    <t>タ</t>
  </si>
  <si>
    <t>ダ</t>
  </si>
  <si>
    <t>チ</t>
  </si>
  <si>
    <t>ヂ</t>
  </si>
  <si>
    <t>ッ</t>
  </si>
  <si>
    <t>ツ</t>
  </si>
  <si>
    <t>ヅ</t>
  </si>
  <si>
    <t>テ</t>
  </si>
  <si>
    <t>デ</t>
  </si>
  <si>
    <t>ト</t>
  </si>
  <si>
    <t>ド</t>
  </si>
  <si>
    <t>ナ</t>
  </si>
  <si>
    <t>ニ</t>
  </si>
  <si>
    <t>ネ</t>
  </si>
  <si>
    <t>ノ</t>
  </si>
  <si>
    <t>ハ</t>
  </si>
  <si>
    <t>バ</t>
  </si>
  <si>
    <t>パ</t>
  </si>
  <si>
    <t>ヒ</t>
  </si>
  <si>
    <t>ビ</t>
  </si>
  <si>
    <t>ピ</t>
  </si>
  <si>
    <t>フ</t>
  </si>
  <si>
    <t>ブ</t>
  </si>
  <si>
    <t>プ</t>
  </si>
  <si>
    <t>ヘ</t>
  </si>
  <si>
    <t>ベ</t>
  </si>
  <si>
    <t>ペ</t>
  </si>
  <si>
    <t>ホ</t>
  </si>
  <si>
    <t>ボ</t>
  </si>
  <si>
    <t>ポ</t>
  </si>
  <si>
    <t>ミ</t>
  </si>
  <si>
    <t>ム</t>
  </si>
  <si>
    <t>メ</t>
  </si>
  <si>
    <t>モ</t>
  </si>
  <si>
    <t>ャ</t>
  </si>
  <si>
    <t>ヤ</t>
  </si>
  <si>
    <t>ュ</t>
  </si>
  <si>
    <t>okemoji</t>
  </si>
  <si>
    <t>japanese</t>
  </si>
  <si>
    <t>あ</t>
  </si>
  <si>
    <t>代</t>
  </si>
  <si>
    <t>い</t>
  </si>
  <si>
    <t>乱</t>
  </si>
  <si>
    <t>う</t>
  </si>
  <si>
    <t>え</t>
  </si>
  <si>
    <t>僌</t>
  </si>
  <si>
    <t>お</t>
  </si>
  <si>
    <t>丌</t>
  </si>
  <si>
    <t>か</t>
  </si>
  <si>
    <t>き</t>
  </si>
  <si>
    <t>乇</t>
  </si>
  <si>
    <t>く</t>
  </si>
  <si>
    <t>丟</t>
  </si>
  <si>
    <t>け</t>
  </si>
  <si>
    <t>こ</t>
  </si>
  <si>
    <t>さ</t>
  </si>
  <si>
    <t>し</t>
  </si>
  <si>
    <t>す</t>
  </si>
  <si>
    <t>せ</t>
  </si>
  <si>
    <t>た</t>
  </si>
  <si>
    <t>亝</t>
  </si>
  <si>
    <t>ち</t>
  </si>
  <si>
    <t>つ</t>
  </si>
  <si>
    <t>伸</t>
  </si>
  <si>
    <t>て</t>
  </si>
  <si>
    <t>不</t>
  </si>
  <si>
    <t>な</t>
  </si>
  <si>
    <t>丂</t>
  </si>
  <si>
    <t>に</t>
  </si>
  <si>
    <t>似</t>
  </si>
  <si>
    <t>ぬ</t>
  </si>
  <si>
    <t>ね</t>
  </si>
  <si>
    <t>の</t>
  </si>
  <si>
    <t>万</t>
  </si>
  <si>
    <t>は</t>
  </si>
  <si>
    <t>伕</t>
  </si>
  <si>
    <t>ひ</t>
  </si>
  <si>
    <t>仁</t>
  </si>
  <si>
    <t>へ</t>
  </si>
  <si>
    <t>ほ</t>
  </si>
  <si>
    <t>ま</t>
  </si>
  <si>
    <t>乹</t>
  </si>
  <si>
    <t>み</t>
  </si>
  <si>
    <t>む</t>
  </si>
  <si>
    <t>め</t>
  </si>
  <si>
    <t>乢</t>
  </si>
  <si>
    <t>も</t>
  </si>
  <si>
    <t>や</t>
  </si>
  <si>
    <t>ゆ</t>
  </si>
  <si>
    <t>よ</t>
  </si>
  <si>
    <t>乏</t>
  </si>
  <si>
    <t>ら</t>
  </si>
  <si>
    <t>り</t>
  </si>
  <si>
    <t>丕</t>
  </si>
  <si>
    <t>る</t>
  </si>
  <si>
    <t>れ</t>
  </si>
  <si>
    <t>ろ</t>
  </si>
  <si>
    <t>わ</t>
  </si>
  <si>
    <t>を</t>
  </si>
  <si>
    <t>ん</t>
  </si>
  <si>
    <t>両</t>
  </si>
  <si>
    <t>が</t>
  </si>
  <si>
    <t>ぎ</t>
  </si>
  <si>
    <t>俥</t>
  </si>
  <si>
    <t>ぐ</t>
  </si>
  <si>
    <t>げ</t>
  </si>
  <si>
    <t>ご</t>
  </si>
  <si>
    <t>ざ</t>
  </si>
  <si>
    <t>じ</t>
  </si>
  <si>
    <t>争</t>
  </si>
  <si>
    <t>ず</t>
  </si>
  <si>
    <t>亼</t>
  </si>
  <si>
    <t>ぜ</t>
  </si>
  <si>
    <t>ぞ</t>
  </si>
  <si>
    <t>だ</t>
  </si>
  <si>
    <t>丐</t>
  </si>
  <si>
    <t>で</t>
  </si>
  <si>
    <t>亠</t>
  </si>
  <si>
    <t>ば</t>
  </si>
  <si>
    <t>び</t>
  </si>
  <si>
    <t>ぶ</t>
  </si>
  <si>
    <t>べ</t>
  </si>
  <si>
    <t>ぱ</t>
  </si>
  <si>
    <t>凋</t>
  </si>
  <si>
    <t>ぴ</t>
  </si>
  <si>
    <t>傰</t>
  </si>
  <si>
    <t>ぷ</t>
  </si>
  <si>
    <t>倨</t>
  </si>
  <si>
    <t>ぺ</t>
  </si>
  <si>
    <t>俊</t>
  </si>
  <si>
    <t>ぽ</t>
  </si>
  <si>
    <t>侔</t>
  </si>
  <si>
    <t>ぇ</t>
  </si>
  <si>
    <t>ゃ</t>
  </si>
  <si>
    <t>ゅ</t>
  </si>
  <si>
    <t>亞</t>
  </si>
  <si>
    <t>ょ</t>
  </si>
  <si>
    <t>仝</t>
  </si>
  <si>
    <t>っ</t>
  </si>
  <si>
    <t>傯</t>
  </si>
  <si>
    <t>ー</t>
  </si>
  <si>
    <t>乵</t>
  </si>
  <si>
    <t>日</t>
  </si>
  <si>
    <t>剷</t>
  </si>
  <si>
    <t>定</t>
  </si>
  <si>
    <t>食</t>
  </si>
  <si>
    <t>佋</t>
  </si>
  <si>
    <t>自</t>
  </si>
  <si>
    <t>借</t>
  </si>
  <si>
    <t>休</t>
  </si>
  <si>
    <t>必</t>
  </si>
  <si>
    <t>営</t>
  </si>
  <si>
    <t>刘</t>
  </si>
  <si>
    <t>時</t>
  </si>
  <si>
    <t>勁</t>
  </si>
  <si>
    <t>化</t>
  </si>
  <si>
    <t>道</t>
  </si>
  <si>
    <t>佘</t>
  </si>
  <si>
    <t>作</t>
  </si>
  <si>
    <t>侚</t>
  </si>
  <si>
    <t>越?</t>
  </si>
  <si>
    <t>備</t>
  </si>
  <si>
    <t>冡</t>
  </si>
  <si>
    <t>味</t>
  </si>
  <si>
    <t>仫</t>
  </si>
  <si>
    <t>色?</t>
  </si>
  <si>
    <t>兎</t>
  </si>
  <si>
    <t>合</t>
  </si>
  <si>
    <t>傚</t>
  </si>
  <si>
    <t>祝</t>
  </si>
  <si>
    <t>選</t>
  </si>
  <si>
    <t>傠</t>
  </si>
  <si>
    <t>手</t>
  </si>
  <si>
    <t>候</t>
  </si>
  <si>
    <t>小</t>
  </si>
  <si>
    <t>佟</t>
  </si>
  <si>
    <t>空</t>
  </si>
  <si>
    <t>倏</t>
  </si>
  <si>
    <t>店</t>
  </si>
  <si>
    <t>个</t>
  </si>
  <si>
    <t>花</t>
  </si>
  <si>
    <t>丩</t>
  </si>
  <si>
    <t>什</t>
  </si>
  <si>
    <t>地</t>
  </si>
  <si>
    <t>儺</t>
  </si>
  <si>
    <t>丞</t>
  </si>
  <si>
    <t>本</t>
  </si>
  <si>
    <t>乩</t>
  </si>
  <si>
    <t>取</t>
  </si>
  <si>
    <t>冦</t>
  </si>
  <si>
    <t>扱?</t>
  </si>
  <si>
    <t>儛</t>
  </si>
  <si>
    <t>傟</t>
  </si>
  <si>
    <t>相</t>
  </si>
  <si>
    <t>性</t>
  </si>
  <si>
    <t>過?</t>
  </si>
  <si>
    <t>們</t>
  </si>
  <si>
    <t>見</t>
  </si>
  <si>
    <t>侫</t>
  </si>
  <si>
    <t>丑</t>
  </si>
  <si>
    <t>生</t>
  </si>
  <si>
    <t>勿</t>
  </si>
  <si>
    <t>次?</t>
  </si>
  <si>
    <t>伈</t>
  </si>
  <si>
    <t>落</t>
  </si>
  <si>
    <t>仲</t>
  </si>
  <si>
    <t>着</t>
  </si>
  <si>
    <t>行</t>
  </si>
  <si>
    <t>待</t>
  </si>
  <si>
    <t>假</t>
  </si>
  <si>
    <t>侂</t>
  </si>
  <si>
    <t>様?</t>
  </si>
  <si>
    <t>勵</t>
  </si>
  <si>
    <t>限?</t>
  </si>
  <si>
    <t>冤</t>
  </si>
  <si>
    <t>切</t>
  </si>
  <si>
    <t>乄</t>
  </si>
  <si>
    <t>異?</t>
  </si>
  <si>
    <t>刋</t>
  </si>
  <si>
    <t>年</t>
  </si>
  <si>
    <t>開</t>
  </si>
  <si>
    <t>倚</t>
  </si>
  <si>
    <t>楽</t>
  </si>
  <si>
    <t>偢</t>
  </si>
  <si>
    <t>多</t>
  </si>
  <si>
    <t>佒</t>
  </si>
  <si>
    <t>物</t>
  </si>
  <si>
    <t>親?</t>
  </si>
  <si>
    <t>月</t>
  </si>
  <si>
    <t>儹</t>
  </si>
  <si>
    <t>上</t>
  </si>
  <si>
    <t>確?</t>
  </si>
  <si>
    <t>儿</t>
  </si>
  <si>
    <t>存</t>
  </si>
  <si>
    <t>場</t>
  </si>
  <si>
    <t>心</t>
  </si>
  <si>
    <t>劉</t>
  </si>
  <si>
    <t>報?</t>
  </si>
  <si>
    <t>划</t>
  </si>
  <si>
    <t>置</t>
  </si>
  <si>
    <t>勜</t>
  </si>
  <si>
    <t>訪</t>
  </si>
  <si>
    <t>伳</t>
  </si>
  <si>
    <t>名</t>
  </si>
  <si>
    <t>所</t>
  </si>
  <si>
    <t>息?</t>
  </si>
  <si>
    <t>明</t>
  </si>
  <si>
    <t>乎</t>
  </si>
  <si>
    <t>照</t>
  </si>
  <si>
    <t>人</t>
  </si>
  <si>
    <t>偉</t>
  </si>
  <si>
    <t>丮</t>
  </si>
  <si>
    <t>活</t>
  </si>
  <si>
    <t>佃</t>
  </si>
  <si>
    <t>俜</t>
  </si>
  <si>
    <t>香</t>
  </si>
  <si>
    <t>云</t>
  </si>
  <si>
    <t>出</t>
  </si>
  <si>
    <t>僮</t>
  </si>
  <si>
    <t>僭</t>
  </si>
  <si>
    <t>処</t>
  </si>
  <si>
    <t>我</t>
  </si>
  <si>
    <t>伊</t>
  </si>
  <si>
    <t>導?</t>
  </si>
  <si>
    <t>剃</t>
  </si>
  <si>
    <t>勇</t>
  </si>
  <si>
    <t>保</t>
  </si>
  <si>
    <t>傍</t>
  </si>
  <si>
    <t>内</t>
  </si>
  <si>
    <t>迷</t>
  </si>
  <si>
    <t>剠</t>
  </si>
  <si>
    <t>決?</t>
  </si>
  <si>
    <t>仰</t>
  </si>
  <si>
    <t>身</t>
  </si>
  <si>
    <t>冣</t>
  </si>
  <si>
    <t>大</t>
  </si>
  <si>
    <t>変?</t>
  </si>
  <si>
    <t>以?</t>
  </si>
  <si>
    <t>偬</t>
  </si>
  <si>
    <t>关</t>
  </si>
  <si>
    <t>軽</t>
  </si>
  <si>
    <t>僤</t>
  </si>
  <si>
    <t>寄?</t>
  </si>
  <si>
    <t>求?</t>
  </si>
  <si>
    <t>感?</t>
  </si>
  <si>
    <t>俯</t>
  </si>
  <si>
    <t>創</t>
  </si>
  <si>
    <t>際?</t>
  </si>
  <si>
    <t>匵</t>
  </si>
  <si>
    <t>凃</t>
  </si>
  <si>
    <t>封</t>
  </si>
  <si>
    <t>劈</t>
  </si>
  <si>
    <t>情?</t>
  </si>
  <si>
    <t>儌</t>
  </si>
  <si>
    <t>祭</t>
  </si>
  <si>
    <t>佮</t>
  </si>
  <si>
    <t>向</t>
  </si>
  <si>
    <t>丅</t>
  </si>
  <si>
    <t>記</t>
  </si>
  <si>
    <t>减</t>
  </si>
  <si>
    <t>閉</t>
  </si>
  <si>
    <t>割</t>
  </si>
  <si>
    <t>偊</t>
  </si>
  <si>
    <t>仂</t>
  </si>
  <si>
    <t>消?</t>
  </si>
  <si>
    <t>無</t>
  </si>
  <si>
    <t>影</t>
  </si>
  <si>
    <t>剬</t>
  </si>
  <si>
    <t>初</t>
  </si>
  <si>
    <t>伀</t>
  </si>
  <si>
    <t>目</t>
  </si>
  <si>
    <t>印?</t>
  </si>
  <si>
    <t>伏</t>
  </si>
  <si>
    <t>侁</t>
  </si>
  <si>
    <t>止?</t>
  </si>
  <si>
    <t>之</t>
  </si>
  <si>
    <t>々</t>
  </si>
  <si>
    <t>儳</t>
  </si>
  <si>
    <t>恐</t>
  </si>
  <si>
    <t>刱</t>
  </si>
  <si>
    <t>罪</t>
  </si>
  <si>
    <t>刳</t>
  </si>
  <si>
    <t>犯</t>
  </si>
  <si>
    <t>佳</t>
  </si>
  <si>
    <t>事</t>
  </si>
  <si>
    <t>言</t>
  </si>
  <si>
    <t>剪</t>
  </si>
  <si>
    <t>子</t>
  </si>
  <si>
    <t>匤</t>
  </si>
  <si>
    <t>俳</t>
  </si>
  <si>
    <t>塞?</t>
  </si>
  <si>
    <t>佬</t>
  </si>
  <si>
    <t>壁?</t>
  </si>
  <si>
    <t>儼</t>
  </si>
  <si>
    <t>形</t>
  </si>
  <si>
    <t>刄</t>
  </si>
  <si>
    <t>録</t>
  </si>
  <si>
    <t>儵</t>
  </si>
  <si>
    <t>屋</t>
  </si>
  <si>
    <t>係</t>
  </si>
  <si>
    <t>込</t>
  </si>
  <si>
    <t>仡</t>
  </si>
  <si>
    <t>終</t>
  </si>
  <si>
    <t>仚</t>
  </si>
  <si>
    <t>覗</t>
  </si>
  <si>
    <t>未?</t>
  </si>
  <si>
    <t>勍</t>
  </si>
  <si>
    <t>思</t>
  </si>
  <si>
    <t>残</t>
  </si>
  <si>
    <t>勢</t>
  </si>
  <si>
    <t>ゾ</t>
  </si>
  <si>
    <t>ヌ</t>
  </si>
  <si>
    <t>マ</t>
  </si>
  <si>
    <t>}</t>
  </si>
  <si>
    <t>丼</t>
    <phoneticPr fontId="1"/>
  </si>
  <si>
    <r>
      <rPr>
        <sz val="11"/>
        <color theme="1"/>
        <rFont val="游ゴシック Light"/>
        <family val="2"/>
        <charset val="136"/>
        <scheme val="major"/>
      </rPr>
      <t>伭</t>
    </r>
    <r>
      <rPr>
        <sz val="11"/>
        <color theme="1"/>
        <rFont val="游ゴシック Light"/>
        <family val="3"/>
        <charset val="128"/>
        <scheme val="major"/>
      </rPr>
      <t>卋乳偗介</t>
    </r>
    <r>
      <rPr>
        <sz val="11"/>
        <color theme="1"/>
        <rFont val="游ゴシック Light"/>
        <family val="2"/>
        <charset val="136"/>
        <scheme val="major"/>
      </rPr>
      <t>佁侸</t>
    </r>
    <r>
      <rPr>
        <sz val="11"/>
        <color theme="1"/>
        <rFont val="游ゴシック Light"/>
        <family val="3"/>
        <charset val="128"/>
        <scheme val="major"/>
      </rPr>
      <t>侻剸</t>
    </r>
    <phoneticPr fontId="1"/>
  </si>
  <si>
    <t>乐</t>
  </si>
  <si>
    <t>{</t>
  </si>
  <si>
    <t>东</t>
  </si>
  <si>
    <t>乡</t>
  </si>
  <si>
    <t>丆</t>
  </si>
  <si>
    <t>亃</t>
  </si>
  <si>
    <t>乛</t>
  </si>
  <si>
    <t>劏</t>
  </si>
  <si>
    <t>亩</t>
  </si>
  <si>
    <t>临</t>
  </si>
  <si>
    <t>倈</t>
  </si>
  <si>
    <t>举</t>
  </si>
  <si>
    <t>劆</t>
  </si>
  <si>
    <t>伥</t>
  </si>
  <si>
    <t>丝</t>
  </si>
  <si>
    <t>丢</t>
  </si>
  <si>
    <t>买</t>
  </si>
  <si>
    <t>兰</t>
  </si>
  <si>
    <t>侕</t>
  </si>
  <si>
    <t>义</t>
  </si>
  <si>
    <t>兡</t>
  </si>
  <si>
    <t>亏</t>
  </si>
  <si>
    <t>乯</t>
  </si>
  <si>
    <t>乥</t>
  </si>
  <si>
    <t>别</t>
  </si>
  <si>
    <t>刬</t>
  </si>
  <si>
    <t>傫</t>
  </si>
  <si>
    <t>俬</t>
  </si>
  <si>
    <t>佲</t>
  </si>
  <si>
    <t>勮</t>
  </si>
  <si>
    <t>乸</t>
  </si>
  <si>
    <t>俹</t>
  </si>
  <si>
    <t>剙</t>
  </si>
  <si>
    <t>伛</t>
  </si>
  <si>
    <t>匄</t>
  </si>
  <si>
    <t>刿</t>
  </si>
  <si>
    <t>佫</t>
  </si>
  <si>
    <t>兛</t>
  </si>
  <si>
    <t>倯</t>
  </si>
  <si>
    <t>凗</t>
  </si>
  <si>
    <t>偺</t>
  </si>
  <si>
    <t>侦</t>
  </si>
  <si>
    <t>传</t>
  </si>
  <si>
    <t>仑</t>
  </si>
  <si>
    <t>勓</t>
  </si>
  <si>
    <t>仩</t>
  </si>
  <si>
    <t>剎</t>
  </si>
  <si>
    <t>伅</t>
  </si>
  <si>
    <t>倠</t>
  </si>
  <si>
    <t>冞</t>
  </si>
  <si>
    <t>偄</t>
  </si>
  <si>
    <t>倾</t>
  </si>
  <si>
    <t>亷</t>
  </si>
  <si>
    <t>俻</t>
  </si>
  <si>
    <t>乻</t>
  </si>
  <si>
    <t>刌</t>
  </si>
  <si>
    <t>偮</t>
  </si>
  <si>
    <t>俞</t>
  </si>
  <si>
    <t>乧</t>
  </si>
  <si>
    <t>儏</t>
  </si>
  <si>
    <t>剼</t>
  </si>
  <si>
    <t>倽</t>
  </si>
  <si>
    <t>剺</t>
  </si>
  <si>
    <t>仒</t>
  </si>
  <si>
    <t>书</t>
  </si>
  <si>
    <t>侤</t>
  </si>
  <si>
    <t>乫</t>
  </si>
  <si>
    <t>倄</t>
  </si>
  <si>
    <t>乼</t>
  </si>
  <si>
    <t>两</t>
  </si>
  <si>
    <t>凳</t>
  </si>
  <si>
    <t>続</t>
  </si>
  <si>
    <t>書?</t>
    <rPh sb="0" eb="1">
      <t>カ</t>
    </rPh>
    <phoneticPr fontId="1"/>
  </si>
  <si>
    <t>延?</t>
    <rPh sb="0" eb="1">
      <t>ノ</t>
    </rPh>
    <phoneticPr fontId="1"/>
  </si>
  <si>
    <t>亡</t>
  </si>
  <si>
    <t>卋</t>
  </si>
  <si>
    <t>像/王?</t>
    <rPh sb="0" eb="1">
      <t>ゾウ</t>
    </rPh>
    <rPh sb="2" eb="3">
      <t>オウ</t>
    </rPh>
    <phoneticPr fontId="1"/>
  </si>
  <si>
    <t>凭</t>
  </si>
  <si>
    <t>力</t>
    <rPh sb="0" eb="1">
      <t>チカラ</t>
    </rPh>
    <phoneticPr fontId="1"/>
  </si>
  <si>
    <t>剸</t>
  </si>
  <si>
    <t>文?</t>
  </si>
  <si>
    <t>兆?</t>
  </si>
  <si>
    <t>凾</t>
  </si>
  <si>
    <t>剑</t>
  </si>
  <si>
    <t>流?</t>
  </si>
  <si>
    <t>交?</t>
  </si>
  <si>
    <t>街</t>
    <phoneticPr fontId="1"/>
  </si>
  <si>
    <t>客?</t>
    <phoneticPr fontId="1"/>
  </si>
  <si>
    <t>知</t>
    <phoneticPr fontId="1"/>
  </si>
  <si>
    <t>五</t>
  </si>
  <si>
    <t>四?</t>
    <rPh sb="0" eb="1">
      <t>ヨン</t>
    </rPh>
    <phoneticPr fontId="1"/>
  </si>
  <si>
    <t>第</t>
    <phoneticPr fontId="1"/>
  </si>
  <si>
    <t>倂</t>
  </si>
  <si>
    <t>匰</t>
  </si>
  <si>
    <t>儽</t>
  </si>
  <si>
    <t>兊</t>
  </si>
  <si>
    <t>果?</t>
    <rPh sb="0" eb="1">
      <t>ハテ</t>
    </rPh>
    <phoneticPr fontId="1"/>
  </si>
  <si>
    <t>亾</t>
  </si>
  <si>
    <t>防?</t>
    <rPh sb="0" eb="1">
      <t>フセ</t>
    </rPh>
    <phoneticPr fontId="1"/>
  </si>
  <si>
    <t>養</t>
    <phoneticPr fontId="1"/>
  </si>
  <si>
    <t>丁</t>
    <phoneticPr fontId="1"/>
  </si>
  <si>
    <t>仮</t>
  </si>
  <si>
    <t>飾?</t>
    <rPh sb="0" eb="1">
      <t>カザ</t>
    </rPh>
    <phoneticPr fontId="1"/>
  </si>
  <si>
    <t>冹</t>
  </si>
  <si>
    <t>苦?</t>
    <rPh sb="0" eb="1">
      <t>ニガ</t>
    </rPh>
    <phoneticPr fontId="1"/>
  </si>
  <si>
    <t>乆</t>
  </si>
  <si>
    <t>深?</t>
    <rPh sb="0" eb="1">
      <t>フカ</t>
    </rPh>
    <phoneticPr fontId="1"/>
  </si>
  <si>
    <t>最</t>
    <phoneticPr fontId="1"/>
  </si>
  <si>
    <t>新</t>
    <phoneticPr fontId="1"/>
  </si>
  <si>
    <t>受</t>
    <phoneticPr fontId="1"/>
  </si>
  <si>
    <t>来</t>
    <phoneticPr fontId="1"/>
  </si>
  <si>
    <t>勀</t>
  </si>
  <si>
    <t>持</t>
    <phoneticPr fontId="1"/>
  </si>
  <si>
    <t>凄</t>
  </si>
  <si>
    <t>房?</t>
    <rPh sb="0" eb="1">
      <t>フサ</t>
    </rPh>
    <phoneticPr fontId="1"/>
  </si>
  <si>
    <t>准</t>
  </si>
  <si>
    <t>凇</t>
  </si>
  <si>
    <t>刻</t>
  </si>
  <si>
    <t>首?</t>
    <rPh sb="0" eb="1">
      <t>クビ</t>
    </rPh>
    <phoneticPr fontId="1"/>
  </si>
  <si>
    <t>斬?</t>
    <rPh sb="0" eb="1">
      <t>ザン</t>
    </rPh>
    <phoneticPr fontId="1"/>
  </si>
  <si>
    <t>別</t>
  </si>
  <si>
    <t>指</t>
    <phoneticPr fontId="1"/>
  </si>
  <si>
    <t>清</t>
    <phoneticPr fontId="1"/>
  </si>
  <si>
    <t>勻</t>
  </si>
  <si>
    <t>守?</t>
    <rPh sb="0" eb="1">
      <t>マモ</t>
    </rPh>
    <phoneticPr fontId="1"/>
  </si>
  <si>
    <t>匙</t>
  </si>
  <si>
    <t>散?</t>
    <rPh sb="0" eb="1">
      <t>サン</t>
    </rPh>
    <phoneticPr fontId="1"/>
  </si>
  <si>
    <t>冟</t>
  </si>
  <si>
    <t>劚</t>
  </si>
  <si>
    <t>正?</t>
    <rPh sb="0" eb="1">
      <t>タダ</t>
    </rPh>
    <phoneticPr fontId="1"/>
  </si>
  <si>
    <t>命</t>
    <phoneticPr fontId="1"/>
  </si>
  <si>
    <t>同?</t>
    <rPh sb="0" eb="1">
      <t>オナ</t>
    </rPh>
    <phoneticPr fontId="1"/>
  </si>
  <si>
    <t>掟</t>
    <phoneticPr fontId="1"/>
  </si>
  <si>
    <t>沿?</t>
    <rPh sb="0" eb="1">
      <t>エン</t>
    </rPh>
    <phoneticPr fontId="1"/>
  </si>
  <si>
    <t>革?</t>
    <rPh sb="0" eb="1">
      <t>カワ</t>
    </rPh>
    <phoneticPr fontId="1"/>
  </si>
  <si>
    <t>づ/付?</t>
    <rPh sb="2" eb="3">
      <t>ツ</t>
    </rPh>
    <phoneticPr fontId="1"/>
  </si>
  <si>
    <t>URL①</t>
    <phoneticPr fontId="1"/>
  </si>
  <si>
    <t>②</t>
    <phoneticPr fontId="1"/>
  </si>
  <si>
    <t>③</t>
    <phoneticPr fontId="1"/>
  </si>
  <si>
    <t>④</t>
    <phoneticPr fontId="1"/>
  </si>
  <si>
    <t>⑤</t>
    <phoneticPr fontId="1"/>
  </si>
  <si>
    <t>⑥</t>
    <phoneticPr fontId="1"/>
  </si>
  <si>
    <t>ひと息</t>
    <rPh sb="2" eb="3">
      <t>イキ</t>
    </rPh>
    <phoneticPr fontId="1"/>
  </si>
  <si>
    <t>親しまれて</t>
    <rPh sb="0" eb="1">
      <t>シタ</t>
    </rPh>
    <phoneticPr fontId="1"/>
  </si>
  <si>
    <t>お越し</t>
    <rPh sb="1" eb="2">
      <t>コ</t>
    </rPh>
    <phoneticPr fontId="1"/>
  </si>
  <si>
    <t>変わります</t>
    <rPh sb="0" eb="1">
      <t>カ</t>
    </rPh>
    <phoneticPr fontId="1"/>
  </si>
  <si>
    <t>以ぜん</t>
    <rPh sb="0" eb="1">
      <t>イ</t>
    </rPh>
    <phoneticPr fontId="1"/>
  </si>
  <si>
    <t>塞ぐ</t>
    <rPh sb="0" eb="1">
      <t>フサ</t>
    </rPh>
    <phoneticPr fontId="1"/>
  </si>
  <si>
    <t>防人</t>
    <rPh sb="0" eb="2">
      <t>サキモリ</t>
    </rPh>
    <phoneticPr fontId="1"/>
  </si>
  <si>
    <t>飾ります</t>
    <rPh sb="0" eb="1">
      <t>カザ</t>
    </rPh>
    <phoneticPr fontId="1"/>
  </si>
  <si>
    <t>備考/用例</t>
    <rPh sb="0" eb="2">
      <t>ビコウ</t>
    </rPh>
    <rPh sb="3" eb="5">
      <t>ヨウレイ</t>
    </rPh>
    <phoneticPr fontId="1"/>
  </si>
  <si>
    <t>お客様</t>
    <rPh sb="1" eb="3">
      <t>キャクサマ</t>
    </rPh>
    <phoneticPr fontId="1"/>
  </si>
  <si>
    <t>交流の場</t>
    <rPh sb="0" eb="2">
      <t>コウリュウ</t>
    </rPh>
    <rPh sb="3" eb="4">
      <t>バ</t>
    </rPh>
    <phoneticPr fontId="1"/>
  </si>
  <si>
    <t>第四区</t>
    <rPh sb="0" eb="1">
      <t>ダイ</t>
    </rPh>
    <rPh sb="1" eb="2">
      <t>ヨン</t>
    </rPh>
    <rPh sb="2" eb="3">
      <t>ク</t>
    </rPh>
    <phoneticPr fontId="1"/>
  </si>
  <si>
    <t>感じた</t>
    <rPh sb="0" eb="1">
      <t>カン</t>
    </rPh>
    <phoneticPr fontId="1"/>
  </si>
  <si>
    <t>相次いで</t>
    <rPh sb="0" eb="2">
      <t>アイツ</t>
    </rPh>
    <phoneticPr fontId="1"/>
  </si>
  <si>
    <t>兆し</t>
    <rPh sb="0" eb="1">
      <t>キザ</t>
    </rPh>
    <phoneticPr fontId="1"/>
  </si>
  <si>
    <t>ご確にん</t>
    <rPh sb="1" eb="2">
      <t>カク</t>
    </rPh>
    <phoneticPr fontId="1"/>
  </si>
  <si>
    <t>沿革</t>
    <rPh sb="0" eb="2">
      <t>エンカク</t>
    </rPh>
    <phoneticPr fontId="1"/>
  </si>
  <si>
    <t>情報</t>
    <rPh sb="0" eb="2">
      <t>ジョウホウ</t>
    </rPh>
    <phoneticPr fontId="1"/>
  </si>
  <si>
    <t>文化</t>
    <rPh sb="0" eb="2">
      <t>ブンカ</t>
    </rPh>
    <phoneticPr fontId="1"/>
  </si>
  <si>
    <t>扱う</t>
    <rPh sb="0" eb="1">
      <t>アツカ</t>
    </rPh>
    <phoneticPr fontId="1"/>
  </si>
  <si>
    <t>再へん</t>
    <rPh sb="0" eb="1">
      <t>サイ</t>
    </rPh>
    <phoneticPr fontId="1"/>
  </si>
  <si>
    <t>常明王など</t>
    <rPh sb="0" eb="2">
      <t>ツネアキラ</t>
    </rPh>
    <rPh sb="2" eb="3">
      <t>オウ</t>
    </rPh>
    <phoneticPr fontId="1"/>
  </si>
  <si>
    <t>導く</t>
    <rPh sb="0" eb="1">
      <t>ミチビ</t>
    </rPh>
    <phoneticPr fontId="1"/>
  </si>
  <si>
    <t>未来</t>
    <rPh sb="0" eb="2">
      <t>ミライ</t>
    </rPh>
    <phoneticPr fontId="1"/>
  </si>
  <si>
    <t>お求めやすい</t>
    <rPh sb="1" eb="2">
      <t>モト</t>
    </rPh>
    <phoneticPr fontId="1"/>
  </si>
  <si>
    <t>価かく</t>
    <rPh sb="0" eb="1">
      <t>アタイ</t>
    </rPh>
    <phoneticPr fontId="1"/>
  </si>
  <si>
    <t>おたち寄り</t>
    <rPh sb="3" eb="4">
      <t>ヨ</t>
    </rPh>
    <phoneticPr fontId="1"/>
  </si>
  <si>
    <t>斬首などのつぐない</t>
    <rPh sb="0" eb="2">
      <t>ザンシュ</t>
    </rPh>
    <phoneticPr fontId="1"/>
  </si>
  <si>
    <t>影封房</t>
    <rPh sb="0" eb="1">
      <t>カゲ</t>
    </rPh>
    <rPh sb="1" eb="2">
      <t>フウ</t>
    </rPh>
    <rPh sb="2" eb="3">
      <t>フサ</t>
    </rPh>
    <phoneticPr fontId="1"/>
  </si>
  <si>
    <t>満たされた合ず</t>
    <rPh sb="0" eb="1">
      <t>ミ</t>
    </rPh>
    <rPh sb="5" eb="6">
      <t>ア</t>
    </rPh>
    <phoneticPr fontId="1"/>
  </si>
  <si>
    <t>守られていない</t>
    <rPh sb="0" eb="1">
      <t>マモ</t>
    </rPh>
    <phoneticPr fontId="1"/>
  </si>
  <si>
    <t>散見</t>
    <rPh sb="0" eb="2">
      <t>サンケン</t>
    </rPh>
    <phoneticPr fontId="1"/>
  </si>
  <si>
    <t>正しく行どう</t>
    <rPh sb="0" eb="1">
      <t>タダ</t>
    </rPh>
    <rPh sb="3" eb="4">
      <t>ギョウ</t>
    </rPh>
    <phoneticPr fontId="1"/>
  </si>
  <si>
    <t>ちか付く</t>
    <rPh sb="2" eb="3">
      <t>ヅ</t>
    </rPh>
    <phoneticPr fontId="1"/>
  </si>
  <si>
    <t>目印</t>
    <rPh sb="0" eb="2">
      <t>メジルシ</t>
    </rPh>
    <phoneticPr fontId="1"/>
  </si>
  <si>
    <t>ご来場の際</t>
    <rPh sb="1" eb="3">
      <t>ライジョウ</t>
    </rPh>
    <rPh sb="4" eb="5">
      <t>サイ</t>
    </rPh>
    <phoneticPr fontId="1"/>
  </si>
  <si>
    <t>照明を消し</t>
    <rPh sb="0" eb="2">
      <t>ショウメイ</t>
    </rPh>
    <rPh sb="3" eb="4">
      <t>ケ</t>
    </rPh>
    <phoneticPr fontId="1"/>
  </si>
  <si>
    <t>限定</t>
    <rPh sb="0" eb="2">
      <t>ゲンテイ</t>
    </rPh>
    <phoneticPr fontId="1"/>
  </si>
  <si>
    <t>異なります</t>
    <rPh sb="0" eb="1">
      <t>コト</t>
    </rPh>
    <phoneticPr fontId="1"/>
  </si>
  <si>
    <t>苦味</t>
    <rPh sb="0" eb="2">
      <t>ニガミ</t>
    </rPh>
    <phoneticPr fontId="1"/>
  </si>
  <si>
    <t>深め</t>
    <rPh sb="0" eb="1">
      <t>フカ</t>
    </rPh>
    <phoneticPr fontId="1"/>
  </si>
  <si>
    <t>傎</t>
  </si>
  <si>
    <t>色んな</t>
    <rPh sb="0" eb="1">
      <t>イロ</t>
    </rPh>
    <phoneticPr fontId="1"/>
  </si>
  <si>
    <t>沿革？</t>
  </si>
  <si>
    <t>にく屋</t>
  </si>
  <si>
    <t>さかな屋</t>
  </si>
  <si>
    <t>くつ屋</t>
  </si>
  <si>
    <t>地しんのお知らせ</t>
  </si>
  <si>
    <t>さい場</t>
  </si>
  <si>
    <t>噴水？</t>
  </si>
  <si>
    <t>常明像/王？</t>
  </si>
  <si>
    <t>第四区封さのお知らせ</t>
  </si>
  <si>
    <t>第一区は出所</t>
  </si>
  <si>
    <t>化しょう屋</t>
  </si>
  <si>
    <t>きっさ屋</t>
  </si>
  <si>
    <t>影封房？</t>
  </si>
  <si>
    <t>なき子</t>
  </si>
  <si>
    <t>うらない屋</t>
  </si>
  <si>
    <t>休けい所</t>
  </si>
  <si>
    <t>じゃずばー</t>
  </si>
  <si>
    <t>祭だん</t>
  </si>
  <si>
    <t>時けい屋</t>
  </si>
  <si>
    <t>くすり屋</t>
  </si>
  <si>
    <t>無影言本祭のお知らせ</t>
  </si>
  <si>
    <t>防人？</t>
  </si>
  <si>
    <t>地下街について</t>
  </si>
  <si>
    <t>いべんとのお知らせ</t>
  </si>
  <si>
    <t>くりーにんぐ屋</t>
  </si>
  <si>
    <t>ろう</t>
  </si>
  <si>
    <t>清そう屋</t>
  </si>
  <si>
    <t>うんそう屋</t>
  </si>
  <si>
    <t>本屋</t>
  </si>
  <si>
    <t>うどん屋</t>
  </si>
  <si>
    <t>ほーむ</t>
  </si>
  <si>
    <t>いべんとのお知らせ</t>
    <phoneticPr fontId="1"/>
  </si>
  <si>
    <t>決まります</t>
    <rPh sb="0" eb="1">
      <t>キ</t>
    </rPh>
    <phoneticPr fontId="1"/>
  </si>
  <si>
    <t>同時に</t>
    <rPh sb="0" eb="2">
      <t>ドウジ</t>
    </rPh>
    <phoneticPr fontId="1"/>
  </si>
  <si>
    <t>けんさくけっ果</t>
    <rPh sb="6" eb="7">
      <t>カ</t>
    </rPh>
    <phoneticPr fontId="1"/>
  </si>
  <si>
    <t>unicode文より</t>
    <rPh sb="7" eb="8">
      <t>ブン</t>
    </rPh>
    <phoneticPr fontId="1"/>
  </si>
  <si>
    <t>世乥一儵</t>
  </si>
  <si>
    <t>たばこ屋</t>
    <rPh sb="3" eb="4">
      <t>ヤ</t>
    </rPh>
    <phoneticPr fontId="1"/>
  </si>
  <si>
    <t>検索することで消える前の画像が見られるのでは？</t>
    <rPh sb="0" eb="2">
      <t>ケンサク</t>
    </rPh>
    <rPh sb="7" eb="8">
      <t>キ</t>
    </rPh>
    <rPh sb="10" eb="11">
      <t>マエ</t>
    </rPh>
    <rPh sb="12" eb="14">
      <t>ガゾウ</t>
    </rPh>
    <rPh sb="15" eb="16">
      <t>ミ</t>
    </rPh>
    <phoneticPr fontId="1"/>
  </si>
  <si>
    <t>桶文字</t>
    <rPh sb="0" eb="3">
      <t>オケモジ</t>
    </rPh>
    <phoneticPr fontId="1"/>
  </si>
  <si>
    <t>日本語</t>
    <rPh sb="0" eb="3">
      <t>ニホンゴ</t>
    </rPh>
    <phoneticPr fontId="1"/>
  </si>
  <si>
    <t>メモ</t>
    <phoneticPr fontId="1"/>
  </si>
  <si>
    <t>早いし上げ ・お早めに</t>
    <rPh sb="0" eb="1">
      <t>ハヤ</t>
    </rPh>
    <rPh sb="3" eb="4">
      <t>ア</t>
    </rPh>
    <rPh sb="8" eb="9">
      <t>ハヤ</t>
    </rPh>
    <phoneticPr fontId="1"/>
  </si>
  <si>
    <t>ご報こく ・情?報</t>
    <rPh sb="1" eb="2">
      <t>ホウ</t>
    </rPh>
    <rPh sb="6" eb="7">
      <t>ジョウ</t>
    </rPh>
    <rPh sb="8" eb="9">
      <t>ホウ</t>
    </rPh>
    <phoneticPr fontId="1"/>
  </si>
  <si>
    <t>ぞう加 ・さん加</t>
    <rPh sb="2" eb="3">
      <t>カ</t>
    </rPh>
    <rPh sb="7" eb="8">
      <t>カ</t>
    </rPh>
    <phoneticPr fontId="1"/>
  </si>
  <si>
    <t>過ごせる ・過ごす ・過♢</t>
    <rPh sb="0" eb="1">
      <t>ス</t>
    </rPh>
    <rPh sb="6" eb="7">
      <t>ス</t>
    </rPh>
    <phoneticPr fontId="1"/>
  </si>
  <si>
    <t>歩きまわる ・歩み</t>
    <rPh sb="0" eb="1">
      <t>アル</t>
    </rPh>
    <rPh sb="7" eb="8">
      <t>アユ</t>
    </rPh>
    <phoneticPr fontId="1"/>
  </si>
  <si>
    <t>歩</t>
    <phoneticPr fontId="1"/>
  </si>
  <si>
    <t>特?</t>
    <rPh sb="0" eb="1">
      <t>トク</t>
    </rPh>
    <phoneticPr fontId="1"/>
  </si>
  <si>
    <t>別?</t>
    <rPh sb="0" eb="1">
      <t>ベツ</t>
    </rPh>
    <phoneticPr fontId="1"/>
  </si>
  <si>
    <t>特別セール ・特別なひととき</t>
    <rPh sb="0" eb="2">
      <t>トクベツ</t>
    </rPh>
    <rPh sb="7" eb="9">
      <t>トクベツ</t>
    </rPh>
    <phoneticPr fontId="1"/>
  </si>
  <si>
    <t>早</t>
    <phoneticPr fontId="1"/>
  </si>
  <si>
    <t>常</t>
    <phoneticPr fontId="1"/>
  </si>
  <si>
    <t>収?</t>
    <rPh sb="0" eb="1">
      <t>オサム</t>
    </rPh>
    <phoneticPr fontId="1"/>
  </si>
  <si>
    <t>監?</t>
    <rPh sb="0" eb="1">
      <t>カン</t>
    </rPh>
    <phoneticPr fontId="1"/>
  </si>
  <si>
    <t>収監するための場所</t>
    <rPh sb="0" eb="2">
      <t>シュウカン</t>
    </rPh>
    <rPh sb="7" eb="9">
      <t>バショ</t>
    </rPh>
    <phoneticPr fontId="1"/>
  </si>
  <si>
    <t>公</t>
    <rPh sb="0" eb="1">
      <t>コウ</t>
    </rPh>
    <phoneticPr fontId="1"/>
  </si>
  <si>
    <t>式</t>
    <rPh sb="0" eb="1">
      <t>シキ</t>
    </rPh>
    <phoneticPr fontId="1"/>
  </si>
  <si>
    <t>長</t>
    <rPh sb="0" eb="1">
      <t>ナガ</t>
    </rPh>
    <phoneticPr fontId="1"/>
  </si>
  <si>
    <t>支</t>
    <rPh sb="0" eb="1">
      <t>ササ</t>
    </rPh>
    <phoneticPr fontId="1"/>
  </si>
  <si>
    <t>買</t>
    <rPh sb="0" eb="1">
      <t>カ</t>
    </rPh>
    <phoneticPr fontId="1"/>
  </si>
  <si>
    <t>従</t>
    <rPh sb="0" eb="1">
      <t>ジュウ</t>
    </rPh>
    <phoneticPr fontId="1"/>
  </si>
  <si>
    <t>笑</t>
    <rPh sb="0" eb="1">
      <t>ワラ</t>
    </rPh>
    <phoneticPr fontId="1"/>
  </si>
  <si>
    <t>顔</t>
  </si>
  <si>
    <t>業</t>
    <phoneticPr fontId="1"/>
  </si>
  <si>
    <t>員</t>
    <phoneticPr fontId="1"/>
  </si>
  <si>
    <t>舗</t>
    <rPh sb="0" eb="1">
      <t>ホ</t>
    </rPh>
    <phoneticPr fontId="1"/>
  </si>
  <si>
    <t>紹</t>
    <rPh sb="0" eb="1">
      <t>ショウ</t>
    </rPh>
    <phoneticPr fontId="1"/>
  </si>
  <si>
    <t>介</t>
    <rPh sb="0" eb="1">
      <t>カイ</t>
    </rPh>
    <phoneticPr fontId="1"/>
  </si>
  <si>
    <t>用</t>
    <rPh sb="0" eb="1">
      <t>モチ</t>
    </rPh>
    <phoneticPr fontId="1"/>
  </si>
  <si>
    <t>品</t>
    <rPh sb="0" eb="1">
      <t>シナ</t>
    </rPh>
    <phoneticPr fontId="1"/>
  </si>
  <si>
    <t>雑</t>
    <rPh sb="0" eb="1">
      <t>ザツ</t>
    </rPh>
    <phoneticPr fontId="1"/>
  </si>
  <si>
    <t>貨</t>
    <rPh sb="0" eb="1">
      <t>カ</t>
    </rPh>
    <phoneticPr fontId="1"/>
  </si>
  <si>
    <t>並</t>
    <rPh sb="0" eb="1">
      <t>ナラ</t>
    </rPh>
    <phoneticPr fontId="1"/>
  </si>
  <si>
    <t>気</t>
    <rPh sb="0" eb="1">
      <t>キ</t>
    </rPh>
    <phoneticPr fontId="1"/>
  </si>
  <si>
    <t>鎖</t>
    <rPh sb="0" eb="1">
      <t>クサリ</t>
    </rPh>
    <phoneticPr fontId="1"/>
  </si>
  <si>
    <t>震</t>
    <rPh sb="0" eb="1">
      <t>シン</t>
    </rPh>
    <phoneticPr fontId="1"/>
  </si>
  <si>
    <t>発</t>
    <rPh sb="0" eb="1">
      <t>ハツ</t>
    </rPh>
    <phoneticPr fontId="1"/>
  </si>
  <si>
    <t>的</t>
    <rPh sb="0" eb="1">
      <t>テキ</t>
    </rPh>
    <phoneticPr fontId="1"/>
  </si>
  <si>
    <t>利</t>
    <rPh sb="0" eb="1">
      <t>リ</t>
    </rPh>
    <phoneticPr fontId="1"/>
  </si>
  <si>
    <t>伴</t>
    <rPh sb="0" eb="1">
      <t>トモナ</t>
    </rPh>
    <phoneticPr fontId="1"/>
  </si>
  <si>
    <t>告</t>
    <rPh sb="0" eb="1">
      <t>ツ</t>
    </rPh>
    <phoneticPr fontId="1"/>
  </si>
  <si>
    <t>安</t>
    <rPh sb="0" eb="1">
      <t>ヤス</t>
    </rPh>
    <phoneticPr fontId="1"/>
  </si>
  <si>
    <t>全</t>
    <rPh sb="0" eb="1">
      <t>ゼン</t>
    </rPh>
    <phoneticPr fontId="1"/>
  </si>
  <si>
    <t>今</t>
    <rPh sb="0" eb="1">
      <t>イマ</t>
    </rPh>
    <phoneticPr fontId="1"/>
  </si>
  <si>
    <t>後</t>
    <rPh sb="0" eb="1">
      <t>アト</t>
    </rPh>
    <phoneticPr fontId="1"/>
  </si>
  <si>
    <t>通</t>
    <rPh sb="0" eb="1">
      <t>ツウ</t>
    </rPh>
    <phoneticPr fontId="1"/>
  </si>
  <si>
    <t>路</t>
    <rPh sb="0" eb="1">
      <t>ミチ</t>
    </rPh>
    <phoneticPr fontId="1"/>
  </si>
  <si>
    <t>示</t>
    <rPh sb="0" eb="1">
      <t>ジ</t>
    </rPh>
    <phoneticPr fontId="1"/>
  </si>
  <si>
    <t>動</t>
    <rPh sb="0" eb="1">
      <t>ウゴ</t>
    </rPh>
    <phoneticPr fontId="1"/>
  </si>
  <si>
    <t>願</t>
    <rPh sb="0" eb="1">
      <t>ネガ</t>
    </rPh>
    <phoneticPr fontId="1"/>
  </si>
  <si>
    <t>催</t>
    <rPh sb="0" eb="1">
      <t>モヨオ</t>
    </rPh>
    <phoneticPr fontId="1"/>
  </si>
  <si>
    <t>各</t>
    <rPh sb="0" eb="1">
      <t>カク</t>
    </rPh>
    <phoneticPr fontId="1"/>
  </si>
  <si>
    <t>商</t>
    <rPh sb="0" eb="1">
      <t>ショウ</t>
    </rPh>
    <phoneticPr fontId="1"/>
  </si>
  <si>
    <t>意</t>
    <rPh sb="0" eb="1">
      <t>イ</t>
    </rPh>
    <phoneticPr fontId="1"/>
  </si>
  <si>
    <t>売</t>
    <rPh sb="0" eb="1">
      <t>ウ</t>
    </rPh>
    <phoneticPr fontId="1"/>
  </si>
  <si>
    <t>注</t>
    <rPh sb="0" eb="1">
      <t>チュウ</t>
    </rPh>
    <phoneticPr fontId="1"/>
  </si>
  <si>
    <t>毎</t>
    <rPh sb="0" eb="1">
      <t>マイ</t>
    </rPh>
    <phoneticPr fontId="1"/>
  </si>
  <si>
    <t>恒</t>
    <rPh sb="0" eb="1">
      <t>ヒサシ</t>
    </rPh>
    <phoneticPr fontId="1"/>
  </si>
  <si>
    <t>足</t>
    <rPh sb="0" eb="1">
      <t>アシ</t>
    </rPh>
    <phoneticPr fontId="1"/>
  </si>
  <si>
    <t>元</t>
    <rPh sb="0" eb="1">
      <t>モト</t>
    </rPh>
    <phoneticPr fontId="1"/>
  </si>
  <si>
    <t>共</t>
    <rPh sb="0" eb="1">
      <t>トモ</t>
    </rPh>
    <phoneticPr fontId="1"/>
  </si>
  <si>
    <t>困</t>
    <rPh sb="0" eb="1">
      <t>コマ</t>
    </rPh>
    <phoneticPr fontId="1"/>
  </si>
  <si>
    <t>尋</t>
    <rPh sb="0" eb="1">
      <t>タズ</t>
    </rPh>
    <phoneticPr fontId="1"/>
  </si>
  <si>
    <t>燭</t>
  </si>
  <si>
    <t>漢字</t>
    <rPh sb="0" eb="2">
      <t>カンジ</t>
    </rPh>
    <phoneticPr fontId="1"/>
  </si>
  <si>
    <t>部</t>
    <rPh sb="0" eb="1">
      <t>ブ</t>
    </rPh>
    <phoneticPr fontId="1"/>
  </si>
  <si>
    <t>増</t>
    <rPh sb="0" eb="1">
      <t>フ</t>
    </rPh>
    <phoneticPr fontId="1"/>
  </si>
  <si>
    <t>拡</t>
    <rPh sb="0" eb="1">
      <t>ヒロム</t>
    </rPh>
    <phoneticPr fontId="1"/>
  </si>
  <si>
    <t>張</t>
    <rPh sb="0" eb="1">
      <t>ハリ</t>
    </rPh>
    <phoneticPr fontId="1"/>
  </si>
  <si>
    <t>経</t>
    <rPh sb="0" eb="1">
      <t>ヘ</t>
    </rPh>
    <phoneticPr fontId="1"/>
  </si>
  <si>
    <t>約</t>
    <rPh sb="0" eb="1">
      <t>ヤク</t>
    </rPh>
    <phoneticPr fontId="1"/>
  </si>
  <si>
    <t>軒</t>
    <rPh sb="0" eb="1">
      <t>ケン</t>
    </rPh>
    <phoneticPr fontId="1"/>
  </si>
  <si>
    <t>展</t>
    <rPh sb="0" eb="1">
      <t>テン</t>
    </rPh>
    <phoneticPr fontId="1"/>
  </si>
  <si>
    <t>実</t>
    <rPh sb="0" eb="1">
      <t>ミノル</t>
    </rPh>
    <phoneticPr fontId="1"/>
  </si>
  <si>
    <t>私</t>
    <rPh sb="0" eb="1">
      <t>ワタシ</t>
    </rPh>
    <phoneticPr fontId="1"/>
  </si>
  <si>
    <t>盛</t>
    <rPh sb="0" eb="1">
      <t>モ</t>
    </rPh>
    <phoneticPr fontId="1"/>
  </si>
  <si>
    <t>参</t>
    <rPh sb="0" eb="1">
      <t>マイ</t>
    </rPh>
    <phoneticPr fontId="1"/>
  </si>
  <si>
    <t>認</t>
    <rPh sb="0" eb="1">
      <t>ニン</t>
    </rPh>
    <phoneticPr fontId="1"/>
  </si>
  <si>
    <t>分</t>
    <rPh sb="0" eb="1">
      <t>ワ</t>
    </rPh>
    <phoneticPr fontId="1"/>
  </si>
  <si>
    <t>勝</t>
    <rPh sb="0" eb="1">
      <t>カ</t>
    </rPh>
    <phoneticPr fontId="1"/>
  </si>
  <si>
    <t>慎</t>
    <rPh sb="0" eb="1">
      <t>ツツシ</t>
    </rPh>
    <phoneticPr fontId="1"/>
  </si>
  <si>
    <t>警</t>
    <rPh sb="0" eb="1">
      <t>ケイ</t>
    </rPh>
    <phoneticPr fontId="1"/>
  </si>
  <si>
    <t>管</t>
    <rPh sb="0" eb="1">
      <t>カン</t>
    </rPh>
    <phoneticPr fontId="1"/>
  </si>
  <si>
    <t>理</t>
    <rPh sb="0" eb="1">
      <t>コトワリ</t>
    </rPh>
    <phoneticPr fontId="1"/>
  </si>
  <si>
    <t>世</t>
    <rPh sb="0" eb="1">
      <t>ヨ</t>
    </rPh>
    <phoneticPr fontId="1"/>
  </si>
  <si>
    <t>継</t>
    <rPh sb="0" eb="1">
      <t>ツギ</t>
    </rPh>
    <phoneticPr fontId="1"/>
  </si>
  <si>
    <t>承</t>
    <rPh sb="0" eb="1">
      <t>ショウ</t>
    </rPh>
    <phoneticPr fontId="1"/>
  </si>
  <si>
    <t>割</t>
    <rPh sb="0" eb="1">
      <t>ワリ</t>
    </rPh>
    <phoneticPr fontId="1"/>
  </si>
  <si>
    <t>駅</t>
    <rPh sb="0" eb="1">
      <t>エキ</t>
    </rPh>
    <phoneticPr fontId="1"/>
  </si>
  <si>
    <t>飛</t>
    <rPh sb="0" eb="1">
      <t>ヒ</t>
    </rPh>
    <phoneticPr fontId="1"/>
  </si>
  <si>
    <t>躍</t>
    <rPh sb="0" eb="1">
      <t>ヤク</t>
    </rPh>
    <phoneticPr fontId="1"/>
  </si>
  <si>
    <t>連</t>
    <rPh sb="0" eb="1">
      <t>レン</t>
    </rPh>
    <phoneticPr fontId="1"/>
  </si>
  <si>
    <t>賑</t>
    <rPh sb="0" eb="1">
      <t>ニギ</t>
    </rPh>
    <phoneticPr fontId="1"/>
  </si>
  <si>
    <t>追</t>
    <rPh sb="0" eb="1">
      <t>ツイ</t>
    </rPh>
    <phoneticPr fontId="1"/>
  </si>
  <si>
    <t>憩</t>
    <rPh sb="0" eb="1">
      <t>イコ</t>
    </rPh>
    <phoneticPr fontId="1"/>
  </si>
  <si>
    <t>廃</t>
    <rPh sb="0" eb="1">
      <t>ハイ</t>
    </rPh>
    <phoneticPr fontId="1"/>
  </si>
  <si>
    <t>編</t>
    <rPh sb="0" eb="1">
      <t>ヘン</t>
    </rPh>
    <phoneticPr fontId="1"/>
  </si>
  <si>
    <t>少</t>
    <rPh sb="0" eb="1">
      <t>スク</t>
    </rPh>
    <phoneticPr fontId="1"/>
  </si>
  <si>
    <t>数</t>
    <rPh sb="0" eb="1">
      <t>カズ</t>
    </rPh>
    <phoneticPr fontId="1"/>
  </si>
  <si>
    <t>突</t>
    <rPh sb="0" eb="1">
      <t>トツ</t>
    </rPh>
    <phoneticPr fontId="1"/>
  </si>
  <si>
    <t>破</t>
    <rPh sb="0" eb="1">
      <t>ヤブ</t>
    </rPh>
    <phoneticPr fontId="1"/>
  </si>
  <si>
    <t>専</t>
    <rPh sb="0" eb="1">
      <t>セン</t>
    </rPh>
    <phoneticPr fontId="1"/>
  </si>
  <si>
    <t>整</t>
    <rPh sb="0" eb="1">
      <t>ヒトシ</t>
    </rPh>
    <phoneticPr fontId="1"/>
  </si>
  <si>
    <t>周</t>
    <rPh sb="0" eb="1">
      <t>シュウ</t>
    </rPh>
    <phoneticPr fontId="1"/>
  </si>
  <si>
    <t>仃丄</t>
  </si>
  <si>
    <t>えき</t>
    <phoneticPr fontId="1"/>
  </si>
  <si>
    <t>今は封鎖されている？</t>
    <rPh sb="0" eb="1">
      <t>イマ</t>
    </rPh>
    <rPh sb="2" eb="4">
      <t>フウサ</t>
    </rPh>
    <phoneticPr fontId="1"/>
  </si>
  <si>
    <t>丢丆乛乏侕</t>
  </si>
  <si>
    <t>レストラン</t>
    <phoneticPr fontId="1"/>
  </si>
  <si>
    <t>お店として「レストラン」は出てきてない</t>
    <rPh sb="1" eb="2">
      <t>ミセ</t>
    </rPh>
    <rPh sb="13" eb="14">
      <t>デ</t>
    </rPh>
    <phoneticPr fontId="1"/>
  </si>
  <si>
    <t>什丣侕</t>
  </si>
  <si>
    <t>地しん</t>
    <rPh sb="0" eb="1">
      <t>ジ</t>
    </rPh>
    <phoneticPr fontId="1"/>
  </si>
  <si>
    <t>地震そのものについては調べてないような</t>
    <rPh sb="0" eb="2">
      <t>ジシン</t>
    </rPh>
    <rPh sb="11" eb="12">
      <t>シラ</t>
    </rPh>
    <phoneticPr fontId="1"/>
  </si>
  <si>
    <t>什儺伏亩侔东</t>
  </si>
  <si>
    <t>地下街フェア</t>
    <rPh sb="0" eb="3">
      <t>チカガイ</t>
    </rPh>
    <phoneticPr fontId="1"/>
  </si>
  <si>
    <t>なにそれ</t>
    <phoneticPr fontId="1"/>
  </si>
  <si>
    <t>万仝凋</t>
  </si>
  <si>
    <t>はっぴ</t>
    <phoneticPr fontId="1"/>
  </si>
  <si>
    <t>もしかしたら何かあるかもしれない</t>
    <rPh sb="6" eb="7">
      <t>ナニ</t>
    </rPh>
    <phoneticPr fontId="1"/>
  </si>
  <si>
    <t>剸勁</t>
  </si>
  <si>
    <t>調べた気もする</t>
    <rPh sb="0" eb="1">
      <t>シラ</t>
    </rPh>
    <rPh sb="3" eb="4">
      <t>キ</t>
    </rPh>
    <phoneticPr fontId="1"/>
  </si>
  <si>
    <t>什儺伏剸勁勇儿丌代</t>
  </si>
  <si>
    <t>地下街文化保存かい</t>
    <rPh sb="0" eb="3">
      <t>チカガイ</t>
    </rPh>
    <rPh sb="3" eb="5">
      <t>ブンカ</t>
    </rPh>
    <rPh sb="5" eb="7">
      <t>ホゾン</t>
    </rPh>
    <phoneticPr fontId="1"/>
  </si>
  <si>
    <t>組織として出てくる可能性</t>
    <rPh sb="0" eb="2">
      <t>ソシキ</t>
    </rPh>
    <rPh sb="5" eb="6">
      <t>デ</t>
    </rPh>
    <rPh sb="9" eb="12">
      <t>カノウセイ</t>
    </rPh>
    <phoneticPr fontId="1"/>
  </si>
  <si>
    <t>倄乼</t>
  </si>
  <si>
    <t>もしかしたらもしかするかもしれない</t>
    <phoneticPr fontId="1"/>
  </si>
  <si>
    <t>凃乡</t>
  </si>
  <si>
    <t>封さ</t>
    <rPh sb="0" eb="1">
      <t>フウ</t>
    </rPh>
    <phoneticPr fontId="1"/>
  </si>
  <si>
    <t>なんかあるかも</t>
    <phoneticPr fontId="1"/>
  </si>
  <si>
    <t>万代儼</t>
  </si>
  <si>
    <t>はい区</t>
    <rPh sb="2" eb="3">
      <t>ク</t>
    </rPh>
    <phoneticPr fontId="1"/>
  </si>
  <si>
    <t>匤仁侕</t>
  </si>
  <si>
    <t>覧</t>
    <rPh sb="0" eb="1">
      <t>ラン</t>
    </rPh>
    <phoneticPr fontId="1"/>
  </si>
  <si>
    <t>店ぽしょうかい</t>
  </si>
  <si>
    <t>派</t>
    <rPh sb="0" eb="1">
      <t>ハ</t>
    </rPh>
    <phoneticPr fontId="1"/>
  </si>
  <si>
    <t>民</t>
    <rPh sb="0" eb="1">
      <t>タミ</t>
    </rPh>
    <phoneticPr fontId="1"/>
  </si>
  <si>
    <t>昔</t>
    <rPh sb="0" eb="1">
      <t>ムカシ</t>
    </rPh>
    <phoneticPr fontId="1"/>
  </si>
  <si>
    <t>栄</t>
    <rPh sb="0" eb="1">
      <t>サカエ</t>
    </rPh>
    <phoneticPr fontId="1"/>
  </si>
  <si>
    <t>定食屋</t>
  </si>
  <si>
    <t>慢</t>
    <rPh sb="0" eb="1">
      <t>マン</t>
    </rPh>
    <phoneticPr fontId="1"/>
  </si>
  <si>
    <t>寧</t>
    <rPh sb="0" eb="1">
      <t>ヤスシ</t>
    </rPh>
    <phoneticPr fontId="1"/>
  </si>
  <si>
    <t>打</t>
    <rPh sb="0" eb="1">
      <t>ウ</t>
    </rPh>
    <phoneticPr fontId="1"/>
  </si>
  <si>
    <t>提</t>
    <rPh sb="0" eb="1">
      <t>テイ</t>
    </rPh>
    <phoneticPr fontId="1"/>
  </si>
  <si>
    <t>豊</t>
    <rPh sb="0" eb="1">
      <t>ユタカ</t>
    </rPh>
    <phoneticPr fontId="1"/>
  </si>
  <si>
    <t>麺</t>
    <rPh sb="0" eb="1">
      <t>メン</t>
    </rPh>
    <phoneticPr fontId="1"/>
  </si>
  <si>
    <t>効</t>
    <rPh sb="0" eb="1">
      <t>キ</t>
    </rPh>
    <phoneticPr fontId="1"/>
  </si>
  <si>
    <t>堪</t>
    <rPh sb="0" eb="1">
      <t>タン</t>
    </rPh>
    <phoneticPr fontId="1"/>
  </si>
  <si>
    <t>能</t>
    <rPh sb="0" eb="1">
      <t>ノウ</t>
    </rPh>
    <phoneticPr fontId="1"/>
  </si>
  <si>
    <t>そば屋</t>
  </si>
  <si>
    <t>曜</t>
    <rPh sb="0" eb="1">
      <t>ヨウ</t>
    </rPh>
    <phoneticPr fontId="1"/>
  </si>
  <si>
    <t>方</t>
    <rPh sb="0" eb="1">
      <t>カタ</t>
    </rPh>
    <phoneticPr fontId="1"/>
  </si>
  <si>
    <t>格</t>
    <rPh sb="0" eb="1">
      <t>カク</t>
    </rPh>
    <phoneticPr fontId="1"/>
  </si>
  <si>
    <t>賞</t>
    <rPh sb="0" eb="1">
      <t>ショウ</t>
    </rPh>
    <phoneticPr fontId="1"/>
  </si>
  <si>
    <t>火</t>
    <rPh sb="0" eb="1">
      <t>ヒ</t>
    </rPh>
    <phoneticPr fontId="1"/>
  </si>
  <si>
    <t>木</t>
    <rPh sb="0" eb="1">
      <t>キ</t>
    </rPh>
    <phoneticPr fontId="1"/>
  </si>
  <si>
    <t>粧</t>
    <rPh sb="0" eb="1">
      <t>ショウ</t>
    </rPh>
    <phoneticPr fontId="1"/>
  </si>
  <si>
    <t>紅</t>
    <rPh sb="0" eb="1">
      <t>ベニ</t>
    </rPh>
    <phoneticPr fontId="1"/>
  </si>
  <si>
    <t>伝</t>
    <rPh sb="0" eb="1">
      <t>デン</t>
    </rPh>
    <phoneticPr fontId="1"/>
  </si>
  <si>
    <t>統</t>
    <rPh sb="0" eb="1">
      <t>トウ</t>
    </rPh>
    <phoneticPr fontId="1"/>
  </si>
  <si>
    <t>具</t>
    <rPh sb="0" eb="1">
      <t>グ</t>
    </rPh>
    <phoneticPr fontId="1"/>
  </si>
  <si>
    <t>揃</t>
    <rPh sb="0" eb="1">
      <t>ソロ</t>
    </rPh>
    <phoneticPr fontId="1"/>
  </si>
  <si>
    <t>灰</t>
    <rPh sb="0" eb="1">
      <t>ハイ</t>
    </rPh>
    <phoneticPr fontId="1"/>
  </si>
  <si>
    <t>皿</t>
    <rPh sb="0" eb="1">
      <t>サラ</t>
    </rPh>
    <phoneticPr fontId="1"/>
  </si>
  <si>
    <t>由</t>
    <rPh sb="0" eb="1">
      <t>ユウ</t>
    </rPh>
    <phoneticPr fontId="1"/>
  </si>
  <si>
    <t>暮</t>
    <rPh sb="0" eb="1">
      <t>ク</t>
    </rPh>
    <phoneticPr fontId="1"/>
  </si>
  <si>
    <t>照明屋</t>
    <rPh sb="0" eb="2">
      <t>ショウメイ</t>
    </rPh>
    <rPh sb="2" eb="3">
      <t>ヤ</t>
    </rPh>
    <phoneticPr fontId="1"/>
  </si>
  <si>
    <t>電</t>
    <rPh sb="0" eb="1">
      <t>デン</t>
    </rPh>
    <phoneticPr fontId="1"/>
  </si>
  <si>
    <t>球</t>
    <rPh sb="0" eb="1">
      <t>キュウ</t>
    </rPh>
    <phoneticPr fontId="1"/>
  </si>
  <si>
    <t>粒</t>
    <rPh sb="0" eb="1">
      <t>ツブ</t>
    </rPh>
    <phoneticPr fontId="1"/>
  </si>
  <si>
    <t>職</t>
    <rPh sb="0" eb="1">
      <t>ショク</t>
    </rPh>
    <phoneticPr fontId="1"/>
  </si>
  <si>
    <t>貫</t>
    <phoneticPr fontId="1"/>
  </si>
  <si>
    <t>握</t>
    <rPh sb="0" eb="1">
      <t>ニギ</t>
    </rPh>
    <phoneticPr fontId="1"/>
  </si>
  <si>
    <t>素</t>
    <rPh sb="0" eb="1">
      <t>ス</t>
    </rPh>
    <phoneticPr fontId="1"/>
  </si>
  <si>
    <t>材</t>
    <rPh sb="0" eb="1">
      <t>ザイ</t>
    </rPh>
    <phoneticPr fontId="1"/>
  </si>
  <si>
    <t>極</t>
    <rPh sb="0" eb="1">
      <t>キョク</t>
    </rPh>
    <phoneticPr fontId="1"/>
  </si>
  <si>
    <t>水</t>
    <rPh sb="0" eb="1">
      <t>ミズ</t>
    </rPh>
    <phoneticPr fontId="1"/>
  </si>
  <si>
    <t>すし屋</t>
    <rPh sb="2" eb="3">
      <t>ヤ</t>
    </rPh>
    <phoneticPr fontId="1"/>
  </si>
  <si>
    <t>厳</t>
    <rPh sb="0" eb="1">
      <t>ゲン</t>
    </rPh>
    <phoneticPr fontId="1"/>
  </si>
  <si>
    <t>煮</t>
    <rPh sb="0" eb="1">
      <t>ニ</t>
    </rPh>
    <phoneticPr fontId="1"/>
  </si>
  <si>
    <t>凝</t>
    <rPh sb="0" eb="1">
      <t>ギョウ</t>
    </rPh>
    <phoneticPr fontId="1"/>
  </si>
  <si>
    <t>縮</t>
    <rPh sb="0" eb="1">
      <t>シュク</t>
    </rPh>
    <phoneticPr fontId="1"/>
  </si>
  <si>
    <t>杯</t>
    <rPh sb="0" eb="1">
      <t>ハイ</t>
    </rPh>
    <phoneticPr fontId="1"/>
  </si>
  <si>
    <t>違</t>
    <rPh sb="0" eb="1">
      <t>チガ</t>
    </rPh>
    <phoneticPr fontId="1"/>
  </si>
  <si>
    <t>らーめん屋</t>
    <rPh sb="4" eb="5">
      <t>ヤ</t>
    </rPh>
    <phoneticPr fontId="1"/>
  </si>
  <si>
    <t>他</t>
    <rPh sb="0" eb="1">
      <t>ホカ</t>
    </rPh>
    <phoneticPr fontId="1"/>
  </si>
  <si>
    <t>仕</t>
    <rPh sb="0" eb="1">
      <t>シ</t>
    </rPh>
    <phoneticPr fontId="1"/>
  </si>
  <si>
    <t>嫌</t>
    <rPh sb="0" eb="1">
      <t>イヤ</t>
    </rPh>
    <phoneticPr fontId="1"/>
  </si>
  <si>
    <t>酒</t>
    <rPh sb="0" eb="1">
      <t>サケ</t>
    </rPh>
    <phoneticPr fontId="1"/>
  </si>
  <si>
    <t>流</t>
    <rPh sb="0" eb="1">
      <t>ナガ</t>
    </rPh>
    <phoneticPr fontId="1"/>
  </si>
  <si>
    <t>ばー</t>
    <phoneticPr fontId="1"/>
  </si>
  <si>
    <t>床</t>
    <rPh sb="0" eb="1">
      <t>ユカ</t>
    </rPh>
    <phoneticPr fontId="1"/>
  </si>
  <si>
    <t>速</t>
    <rPh sb="0" eb="1">
      <t>ハヤ</t>
    </rPh>
    <phoneticPr fontId="1"/>
  </si>
  <si>
    <t>予</t>
    <rPh sb="0" eb="1">
      <t>ヨ</t>
    </rPh>
    <phoneticPr fontId="1"/>
  </si>
  <si>
    <t>とこ屋</t>
    <rPh sb="2" eb="3">
      <t>ヤ</t>
    </rPh>
    <phoneticPr fontId="1"/>
  </si>
  <si>
    <t>居</t>
    <rPh sb="0" eb="1">
      <t>イ</t>
    </rPh>
    <phoneticPr fontId="1"/>
  </si>
  <si>
    <t>料</t>
    <rPh sb="0" eb="1">
      <t>リョウ</t>
    </rPh>
    <phoneticPr fontId="1"/>
  </si>
  <si>
    <t>種</t>
    <rPh sb="0" eb="1">
      <t>シュ</t>
    </rPh>
    <phoneticPr fontId="1"/>
  </si>
  <si>
    <t>類</t>
    <rPh sb="0" eb="1">
      <t>ルイ</t>
    </rPh>
    <phoneticPr fontId="1"/>
  </si>
  <si>
    <t>富</t>
    <rPh sb="0" eb="1">
      <t>トミ</t>
    </rPh>
    <phoneticPr fontId="1"/>
  </si>
  <si>
    <t>焼</t>
    <rPh sb="0" eb="1">
      <t>ヤキ</t>
    </rPh>
    <phoneticPr fontId="1"/>
  </si>
  <si>
    <t>酎</t>
    <rPh sb="0" eb="1">
      <t>チュウ</t>
    </rPh>
    <phoneticPr fontId="1"/>
  </si>
  <si>
    <t>抜</t>
    <rPh sb="0" eb="1">
      <t>バツ</t>
    </rPh>
    <phoneticPr fontId="1"/>
  </si>
  <si>
    <t>群</t>
    <rPh sb="0" eb="1">
      <t>グン</t>
    </rPh>
    <phoneticPr fontId="1"/>
  </si>
  <si>
    <t>いざか屋</t>
    <rPh sb="3" eb="4">
      <t>ヤ</t>
    </rPh>
    <phoneticPr fontId="1"/>
  </si>
  <si>
    <t>好</t>
    <rPh sb="0" eb="1">
      <t>ス</t>
    </rPh>
    <phoneticPr fontId="1"/>
  </si>
  <si>
    <t>炊</t>
    <rPh sb="0" eb="1">
      <t>タ</t>
    </rPh>
    <phoneticPr fontId="1"/>
  </si>
  <si>
    <t>立</t>
    <rPh sb="0" eb="1">
      <t>タ</t>
    </rPh>
    <phoneticPr fontId="1"/>
  </si>
  <si>
    <t>腹</t>
    <rPh sb="0" eb="1">
      <t>ハラ</t>
    </rPh>
    <phoneticPr fontId="1"/>
  </si>
  <si>
    <t>おにぎり屋</t>
    <rPh sb="4" eb="5">
      <t>ヤ</t>
    </rPh>
    <phoneticPr fontId="1"/>
  </si>
  <si>
    <t>丌侕丝</t>
  </si>
  <si>
    <t>かんり</t>
    <phoneticPr fontId="1"/>
  </si>
  <si>
    <t>ない</t>
    <phoneticPr fontId="1"/>
  </si>
  <si>
    <t>あった</t>
    <phoneticPr fontId="1"/>
  </si>
  <si>
    <t>華</t>
    <rPh sb="0" eb="1">
      <t>ハナ</t>
    </rPh>
    <phoneticPr fontId="1"/>
  </si>
  <si>
    <t>少</t>
    <rPh sb="0" eb="1">
      <t>スコ</t>
    </rPh>
    <phoneticPr fontId="1"/>
  </si>
  <si>
    <t>辛</t>
    <rPh sb="0" eb="1">
      <t>カラ</t>
    </rPh>
    <phoneticPr fontId="1"/>
  </si>
  <si>
    <t>高</t>
    <rPh sb="0" eb="1">
      <t>タカ</t>
    </rPh>
    <phoneticPr fontId="1"/>
  </si>
  <si>
    <t>炒</t>
    <rPh sb="0" eb="1">
      <t>イタ</t>
    </rPh>
    <phoneticPr fontId="1"/>
  </si>
  <si>
    <t>油</t>
    <rPh sb="0" eb="1">
      <t>アブラ</t>
    </rPh>
    <phoneticPr fontId="1"/>
  </si>
  <si>
    <t>刺</t>
    <rPh sb="0" eb="1">
      <t>トゲ</t>
    </rPh>
    <phoneticPr fontId="1"/>
  </si>
  <si>
    <t>激</t>
    <rPh sb="0" eb="1">
      <t>ハゲ</t>
    </rPh>
    <phoneticPr fontId="1"/>
  </si>
  <si>
    <t>中かりょうり屋</t>
    <rPh sb="0" eb="1">
      <t>ナカ</t>
    </rPh>
    <rPh sb="6" eb="7">
      <t>ヤ</t>
    </rPh>
    <phoneticPr fontId="1"/>
  </si>
  <si>
    <t>雰</t>
    <rPh sb="0" eb="1">
      <t>フン</t>
    </rPh>
    <phoneticPr fontId="1"/>
  </si>
  <si>
    <t>囲</t>
    <rPh sb="0" eb="1">
      <t>カコ</t>
    </rPh>
    <phoneticPr fontId="1"/>
  </si>
  <si>
    <t>喫</t>
    <rPh sb="0" eb="1">
      <t>キツ</t>
    </rPh>
    <phoneticPr fontId="1"/>
  </si>
  <si>
    <t>茶</t>
    <rPh sb="0" eb="1">
      <t>チャ</t>
    </rPh>
    <phoneticPr fontId="1"/>
  </si>
  <si>
    <t>きっさ屋</t>
    <rPh sb="3" eb="4">
      <t>ヤ</t>
    </rPh>
    <phoneticPr fontId="1"/>
  </si>
  <si>
    <t>製</t>
    <rPh sb="0" eb="1">
      <t>セイ</t>
    </rPh>
    <phoneticPr fontId="1"/>
  </si>
  <si>
    <t>要</t>
    <rPh sb="0" eb="1">
      <t>ヨウ</t>
    </rPh>
    <phoneticPr fontId="1"/>
  </si>
  <si>
    <t>輪</t>
    <rPh sb="0" eb="1">
      <t>ワ</t>
    </rPh>
    <phoneticPr fontId="1"/>
  </si>
  <si>
    <t>金</t>
    <rPh sb="0" eb="1">
      <t>キン</t>
    </rPh>
    <phoneticPr fontId="1"/>
  </si>
  <si>
    <t>土</t>
    <rPh sb="0" eb="1">
      <t>ツチ</t>
    </rPh>
    <phoneticPr fontId="1"/>
  </si>
  <si>
    <t>花屋</t>
    <rPh sb="0" eb="2">
      <t>ハナヤ</t>
    </rPh>
    <phoneticPr fontId="1"/>
  </si>
  <si>
    <t>懐</t>
    <rPh sb="0" eb="1">
      <t>ナツ</t>
    </rPh>
    <phoneticPr fontId="1"/>
  </si>
  <si>
    <t>おもちゃ屋</t>
    <rPh sb="4" eb="5">
      <t>ヤ</t>
    </rPh>
    <phoneticPr fontId="1"/>
  </si>
  <si>
    <t>晶</t>
    <rPh sb="0" eb="1">
      <t>アキラ</t>
    </rPh>
    <phoneticPr fontId="1"/>
  </si>
  <si>
    <t>うらない屋</t>
    <rPh sb="4" eb="5">
      <t>ヤ</t>
    </rPh>
    <phoneticPr fontId="1"/>
  </si>
  <si>
    <t>配</t>
    <rPh sb="0" eb="1">
      <t>ハイ</t>
    </rPh>
    <phoneticPr fontId="1"/>
  </si>
  <si>
    <t>談</t>
    <rPh sb="0" eb="1">
      <t>ダン</t>
    </rPh>
    <phoneticPr fontId="1"/>
  </si>
  <si>
    <t>差</t>
    <rPh sb="0" eb="1">
      <t>サ</t>
    </rPh>
    <phoneticPr fontId="1"/>
  </si>
  <si>
    <t>演</t>
    <rPh sb="0" eb="1">
      <t>ヒロシ</t>
    </rPh>
    <phoneticPr fontId="1"/>
  </si>
  <si>
    <t>奏</t>
    <rPh sb="0" eb="1">
      <t>カナ</t>
    </rPh>
    <phoneticPr fontId="1"/>
  </si>
  <si>
    <t>包</t>
    <rPh sb="0" eb="1">
      <t>ツツ</t>
    </rPh>
    <phoneticPr fontId="1"/>
  </si>
  <si>
    <t>じゃずばー</t>
    <phoneticPr fontId="1"/>
  </si>
  <si>
    <t>掘</t>
    <rPh sb="0" eb="1">
      <t>ホ</t>
    </rPh>
    <phoneticPr fontId="1"/>
  </si>
  <si>
    <t>厚</t>
    <rPh sb="0" eb="1">
      <t>アツ</t>
    </rPh>
    <phoneticPr fontId="1"/>
  </si>
  <si>
    <t>枚</t>
    <rPh sb="0" eb="1">
      <t>マイ</t>
    </rPh>
    <phoneticPr fontId="1"/>
  </si>
  <si>
    <t>会</t>
    <rPh sb="0" eb="1">
      <t>ア</t>
    </rPh>
    <phoneticPr fontId="1"/>
  </si>
  <si>
    <t>れこーど屋</t>
    <rPh sb="4" eb="5">
      <t>ヤ</t>
    </rPh>
    <phoneticPr fontId="1"/>
  </si>
  <si>
    <t>靴</t>
    <rPh sb="0" eb="1">
      <t>クツ</t>
    </rPh>
    <phoneticPr fontId="1"/>
  </si>
  <si>
    <t>途</t>
    <rPh sb="0" eb="1">
      <t>ト</t>
    </rPh>
    <phoneticPr fontId="1"/>
  </si>
  <si>
    <t>履</t>
    <rPh sb="0" eb="1">
      <t>クツ</t>
    </rPh>
    <phoneticPr fontId="1"/>
  </si>
  <si>
    <t>くつ屋</t>
    <rPh sb="2" eb="3">
      <t>ヤ</t>
    </rPh>
    <phoneticPr fontId="1"/>
  </si>
  <si>
    <t>古</t>
    <rPh sb="0" eb="1">
      <t>フル</t>
    </rPh>
    <phoneticPr fontId="1"/>
  </si>
  <si>
    <t>説</t>
    <rPh sb="0" eb="1">
      <t>セツ</t>
    </rPh>
    <phoneticPr fontId="1"/>
  </si>
  <si>
    <t>画</t>
    <rPh sb="0" eb="1">
      <t>ガ</t>
    </rPh>
    <phoneticPr fontId="1"/>
  </si>
  <si>
    <t>冊</t>
    <rPh sb="0" eb="1">
      <t>サツ</t>
    </rPh>
    <phoneticPr fontId="1"/>
  </si>
  <si>
    <t>本屋</t>
    <rPh sb="0" eb="2">
      <t>ホンヤ</t>
    </rPh>
    <phoneticPr fontId="1"/>
  </si>
  <si>
    <t>色</t>
    <rPh sb="0" eb="1">
      <t>イロ</t>
    </rPh>
    <phoneticPr fontId="1"/>
  </si>
  <si>
    <t>褒</t>
    <rPh sb="0" eb="1">
      <t>ホウ</t>
    </rPh>
    <phoneticPr fontId="1"/>
  </si>
  <si>
    <t>美</t>
    <rPh sb="0" eb="1">
      <t>ビ</t>
    </rPh>
    <phoneticPr fontId="1"/>
  </si>
  <si>
    <t>甘</t>
    <rPh sb="0" eb="1">
      <t>アマ</t>
    </rPh>
    <phoneticPr fontId="1"/>
  </si>
  <si>
    <t>届</t>
    <rPh sb="0" eb="1">
      <t>トド</t>
    </rPh>
    <phoneticPr fontId="1"/>
  </si>
  <si>
    <t>けーき屋</t>
    <rPh sb="3" eb="4">
      <t>ヤ</t>
    </rPh>
    <phoneticPr fontId="1"/>
  </si>
  <si>
    <t>浄</t>
    <rPh sb="0" eb="1">
      <t>ジョウ</t>
    </rPh>
    <phoneticPr fontId="1"/>
  </si>
  <si>
    <t>掃</t>
    <rPh sb="0" eb="1">
      <t>ソウ</t>
    </rPh>
    <phoneticPr fontId="1"/>
  </si>
  <si>
    <t>門</t>
    <rPh sb="0" eb="1">
      <t>モン</t>
    </rPh>
    <phoneticPr fontId="1"/>
  </si>
  <si>
    <t>般</t>
    <rPh sb="0" eb="1">
      <t>ハン</t>
    </rPh>
    <phoneticPr fontId="1"/>
  </si>
  <si>
    <t>依</t>
    <rPh sb="0" eb="1">
      <t>イ</t>
    </rPh>
    <phoneticPr fontId="1"/>
  </si>
  <si>
    <t>頼</t>
    <rPh sb="0" eb="1">
      <t>ライ</t>
    </rPh>
    <phoneticPr fontId="1"/>
  </si>
  <si>
    <t>清そう屋</t>
    <rPh sb="0" eb="1">
      <t>キヨシ</t>
    </rPh>
    <rPh sb="3" eb="4">
      <t>ヤ</t>
    </rPh>
    <phoneticPr fontId="1"/>
  </si>
  <si>
    <t>計</t>
    <rPh sb="0" eb="1">
      <t>ケイ</t>
    </rPh>
    <phoneticPr fontId="1"/>
  </si>
  <si>
    <t>当</t>
    <rPh sb="0" eb="1">
      <t>ア</t>
    </rPh>
    <phoneticPr fontId="1"/>
  </si>
  <si>
    <t>任</t>
    <rPh sb="0" eb="1">
      <t>マカ</t>
    </rPh>
    <phoneticPr fontId="1"/>
  </si>
  <si>
    <t>修</t>
    <rPh sb="0" eb="1">
      <t>オサム</t>
    </rPh>
    <phoneticPr fontId="1"/>
  </si>
  <si>
    <t>時けい屋</t>
    <rPh sb="0" eb="1">
      <t>トキ</t>
    </rPh>
    <rPh sb="3" eb="4">
      <t>ヤ</t>
    </rPh>
    <phoneticPr fontId="1"/>
  </si>
  <si>
    <t>薬</t>
    <rPh sb="0" eb="1">
      <t>クスリ</t>
    </rPh>
    <phoneticPr fontId="1"/>
  </si>
  <si>
    <t>健</t>
    <rPh sb="0" eb="1">
      <t>ケン</t>
    </rPh>
    <phoneticPr fontId="1"/>
  </si>
  <si>
    <t>康</t>
    <rPh sb="0" eb="1">
      <t>ヤスシ</t>
    </rPh>
    <phoneticPr fontId="1"/>
  </si>
  <si>
    <t>くすり屋</t>
    <rPh sb="3" eb="4">
      <t>ヤ</t>
    </rPh>
    <phoneticPr fontId="1"/>
  </si>
  <si>
    <t>くすり</t>
    <phoneticPr fontId="1"/>
  </si>
  <si>
    <t>乇丆丝</t>
    <phoneticPr fontId="1"/>
  </si>
  <si>
    <t>亏伖乱亇亞乱代侕</t>
  </si>
  <si>
    <t>じゅうぎょういん</t>
    <phoneticPr fontId="1"/>
  </si>
  <si>
    <t>無影</t>
    <rPh sb="0" eb="1">
      <t>ナ</t>
    </rPh>
    <rPh sb="1" eb="2">
      <t>カゲ</t>
    </rPh>
    <phoneticPr fontId="1"/>
  </si>
  <si>
    <t>佤主</t>
    <phoneticPr fontId="1"/>
  </si>
  <si>
    <t>γ　壁のやつ</t>
    <rPh sb="2" eb="3">
      <t>カベ</t>
    </rPh>
    <phoneticPr fontId="1"/>
  </si>
  <si>
    <t>責</t>
    <rPh sb="0" eb="1">
      <t>セキ</t>
    </rPh>
    <phoneticPr fontId="1"/>
  </si>
  <si>
    <t>頃</t>
    <rPh sb="0" eb="1">
      <t>コロ</t>
    </rPh>
    <phoneticPr fontId="1"/>
  </si>
  <si>
    <t>衣</t>
    <rPh sb="0" eb="1">
      <t>コロモ</t>
    </rPh>
    <phoneticPr fontId="1"/>
  </si>
  <si>
    <t>くりーにんぐ屋</t>
    <rPh sb="6" eb="7">
      <t>ヤ</t>
    </rPh>
    <phoneticPr fontId="1"/>
  </si>
  <si>
    <t>預</t>
    <rPh sb="0" eb="1">
      <t>アズ</t>
    </rPh>
    <phoneticPr fontId="1"/>
  </si>
  <si>
    <t>傷</t>
    <rPh sb="0" eb="1">
      <t>キズ</t>
    </rPh>
    <phoneticPr fontId="1"/>
  </si>
  <si>
    <t>うんそう屋</t>
    <rPh sb="4" eb="5">
      <t>ヤ</t>
    </rPh>
    <phoneticPr fontId="1"/>
  </si>
  <si>
    <t>亡</t>
    <rPh sb="0" eb="1">
      <t>ナ</t>
    </rPh>
    <phoneticPr fontId="1"/>
  </si>
  <si>
    <t>さい場</t>
    <rPh sb="2" eb="3">
      <t>ジョウ</t>
    </rPh>
    <phoneticPr fontId="1"/>
  </si>
  <si>
    <t>設</t>
    <rPh sb="0" eb="1">
      <t>セツ</t>
    </rPh>
    <phoneticPr fontId="1"/>
  </si>
  <si>
    <t>旬</t>
    <rPh sb="0" eb="1">
      <t>シュン</t>
    </rPh>
    <phoneticPr fontId="1"/>
  </si>
  <si>
    <t>魚</t>
    <rPh sb="0" eb="1">
      <t>サカナ</t>
    </rPh>
    <phoneticPr fontId="1"/>
  </si>
  <si>
    <t>番</t>
    <rPh sb="0" eb="1">
      <t>バン</t>
    </rPh>
    <phoneticPr fontId="1"/>
  </si>
  <si>
    <t>さかな屋</t>
    <rPh sb="3" eb="4">
      <t>ヤ</t>
    </rPh>
    <phoneticPr fontId="1"/>
  </si>
  <si>
    <t>絶</t>
    <rPh sb="0" eb="1">
      <t>ゼツ</t>
    </rPh>
    <phoneticPr fontId="1"/>
  </si>
  <si>
    <t>肉</t>
    <rPh sb="0" eb="1">
      <t>ニク</t>
    </rPh>
    <phoneticPr fontId="1"/>
  </si>
  <si>
    <t>位</t>
    <rPh sb="0" eb="1">
      <t>クライ</t>
    </rPh>
    <phoneticPr fontId="1"/>
  </si>
  <si>
    <t>にく屋</t>
    <rPh sb="2" eb="3">
      <t>ヤ</t>
    </rPh>
    <phoneticPr fontId="1"/>
  </si>
  <si>
    <t>八</t>
    <rPh sb="0" eb="1">
      <t>ハチ</t>
    </rPh>
    <phoneticPr fontId="1"/>
  </si>
  <si>
    <t>百</t>
    <rPh sb="0" eb="1">
      <t>ヒャク</t>
    </rPh>
    <phoneticPr fontId="1"/>
  </si>
  <si>
    <t>野</t>
    <rPh sb="0" eb="1">
      <t>ノ</t>
    </rPh>
    <phoneticPr fontId="1"/>
  </si>
  <si>
    <t>菜</t>
    <rPh sb="0" eb="1">
      <t>ナ</t>
    </rPh>
    <phoneticPr fontId="1"/>
  </si>
  <si>
    <t>鮮</t>
    <rPh sb="0" eb="1">
      <t>アザ</t>
    </rPh>
    <phoneticPr fontId="1"/>
  </si>
  <si>
    <t>やお屋</t>
    <rPh sb="2" eb="3">
      <t>ヤ</t>
    </rPh>
    <phoneticPr fontId="1"/>
  </si>
  <si>
    <t>案</t>
    <rPh sb="0" eb="1">
      <t>アン</t>
    </rPh>
    <phoneticPr fontId="1"/>
  </si>
  <si>
    <t>あん内所</t>
    <rPh sb="2" eb="4">
      <t>ナイショ</t>
    </rPh>
    <phoneticPr fontId="1"/>
  </si>
  <si>
    <t>個</t>
    <rPh sb="0" eb="1">
      <t>コ</t>
    </rPh>
    <phoneticPr fontId="1"/>
  </si>
  <si>
    <t>ぱん屋</t>
    <rPh sb="2" eb="3">
      <t>ヤ</t>
    </rPh>
    <phoneticPr fontId="1"/>
  </si>
  <si>
    <t>遣</t>
    <rPh sb="0" eb="1">
      <t>ケン</t>
    </rPh>
    <phoneticPr fontId="1"/>
  </si>
  <si>
    <t>けい備本ぶ</t>
    <rPh sb="2" eb="3">
      <t>ビ</t>
    </rPh>
    <rPh sb="3" eb="4">
      <t>ホン</t>
    </rPh>
    <phoneticPr fontId="1"/>
  </si>
  <si>
    <t>問</t>
    <rPh sb="0" eb="1">
      <t>トイ</t>
    </rPh>
    <phoneticPr fontId="1"/>
  </si>
  <si>
    <t>題</t>
    <rPh sb="0" eb="1">
      <t>ダイ</t>
    </rPh>
    <phoneticPr fontId="1"/>
  </si>
  <si>
    <t>起</t>
    <rPh sb="0" eb="1">
      <t>オ</t>
    </rPh>
    <phoneticPr fontId="1"/>
  </si>
  <si>
    <t>留</t>
    <rPh sb="0" eb="1">
      <t>トメ</t>
    </rPh>
    <phoneticPr fontId="1"/>
  </si>
  <si>
    <t>牢</t>
    <rPh sb="0" eb="1">
      <t>ロウ</t>
    </rPh>
    <phoneticPr fontId="1"/>
  </si>
  <si>
    <t>ろう</t>
    <phoneticPr fontId="1"/>
  </si>
  <si>
    <t>声</t>
    <rPh sb="0" eb="1">
      <t>コエ</t>
    </rPh>
    <phoneticPr fontId="1"/>
  </si>
  <si>
    <t>住</t>
    <rPh sb="0" eb="1">
      <t>ジュウ</t>
    </rPh>
    <phoneticPr fontId="1"/>
  </si>
  <si>
    <t>須</t>
    <rPh sb="0" eb="1">
      <t>ス</t>
    </rPh>
    <phoneticPr fontId="1"/>
  </si>
  <si>
    <t>亏伖乱乹侕</t>
  </si>
  <si>
    <t>じゅうみん</t>
    <phoneticPr fontId="1"/>
  </si>
  <si>
    <t>住民向けのお知らせとか</t>
    <rPh sb="0" eb="3">
      <t>ジュウミンム</t>
    </rPh>
    <rPh sb="6" eb="7">
      <t>シ</t>
    </rPh>
    <phoneticPr fontId="1"/>
  </si>
  <si>
    <t>倂われ</t>
    <phoneticPr fontId="1"/>
  </si>
  <si>
    <t>過凘</t>
    <rPh sb="0" eb="1">
      <t>カ</t>
    </rPh>
    <phoneticPr fontId="1"/>
  </si>
  <si>
    <r>
      <rPr>
        <sz val="11"/>
        <color theme="1"/>
        <rFont val="Microsoft JhengHei"/>
        <family val="2"/>
        <charset val="136"/>
      </rPr>
      <t>佁</t>
    </r>
    <r>
      <rPr>
        <sz val="11"/>
        <color theme="1"/>
        <rFont val="游ゴシック"/>
        <family val="2"/>
        <charset val="128"/>
        <scheme val="minor"/>
      </rPr>
      <t>壁</t>
    </r>
    <rPh sb="1" eb="2">
      <t>カベ</t>
    </rPh>
    <phoneticPr fontId="1"/>
  </si>
  <si>
    <r>
      <rPr>
        <u/>
        <sz val="11"/>
        <color theme="10"/>
        <rFont val="Microsoft JhengHei"/>
        <family val="2"/>
        <charset val="136"/>
      </rPr>
      <t>佁</t>
    </r>
    <r>
      <rPr>
        <u/>
        <sz val="11"/>
        <color theme="10"/>
        <rFont val="游ゴシック"/>
        <family val="2"/>
        <charset val="128"/>
        <scheme val="minor"/>
      </rPr>
      <t>壁？</t>
    </r>
    <phoneticPr fontId="1"/>
  </si>
  <si>
    <t>揮</t>
    <rPh sb="0" eb="1">
      <t>キ</t>
    </rPh>
    <phoneticPr fontId="1"/>
  </si>
  <si>
    <t>舞</t>
    <rPh sb="0" eb="1">
      <t>マ</t>
    </rPh>
    <phoneticPr fontId="1"/>
  </si>
  <si>
    <t>踊</t>
    <rPh sb="0" eb="1">
      <t>オド</t>
    </rPh>
    <phoneticPr fontId="1"/>
  </si>
  <si>
    <t>役</t>
    <rPh sb="0" eb="1">
      <t>ヤク</t>
    </rPh>
    <phoneticPr fontId="1"/>
  </si>
  <si>
    <t>倂われ？</t>
    <phoneticPr fontId="1"/>
  </si>
  <si>
    <t>償</t>
    <rPh sb="0" eb="1">
      <t>ツグナ</t>
    </rPh>
    <phoneticPr fontId="1"/>
  </si>
  <si>
    <t>治</t>
    <rPh sb="0" eb="1">
      <t>オサム</t>
    </rPh>
    <phoneticPr fontId="1"/>
  </si>
  <si>
    <t>維</t>
    <rPh sb="0" eb="1">
      <t>イ</t>
    </rPh>
    <phoneticPr fontId="1"/>
  </si>
  <si>
    <t>駐</t>
    <rPh sb="0" eb="1">
      <t>チュウ</t>
    </rPh>
    <phoneticPr fontId="1"/>
  </si>
  <si>
    <t>現</t>
    <rPh sb="0" eb="1">
      <t>ウツツ</t>
    </rPh>
    <phoneticPr fontId="1"/>
  </si>
  <si>
    <t>象</t>
    <rPh sb="0" eb="1">
      <t>ゾウ</t>
    </rPh>
    <phoneticPr fontId="1"/>
  </si>
  <si>
    <t>岐</t>
    <rPh sb="0" eb="1">
      <t>チマタ</t>
    </rPh>
    <phoneticPr fontId="1"/>
  </si>
  <si>
    <t>原</t>
    <rPh sb="0" eb="1">
      <t>ハラ</t>
    </rPh>
    <phoneticPr fontId="1"/>
  </si>
  <si>
    <t>因</t>
    <rPh sb="0" eb="1">
      <t>イン</t>
    </rPh>
    <phoneticPr fontId="1"/>
  </si>
  <si>
    <t>根</t>
    <rPh sb="0" eb="1">
      <t>ネ</t>
    </rPh>
    <phoneticPr fontId="1"/>
  </si>
  <si>
    <t>誰</t>
    <rPh sb="0" eb="1">
      <t>ダレ</t>
    </rPh>
    <phoneticPr fontId="1"/>
  </si>
  <si>
    <t>けがれ</t>
  </si>
  <si>
    <t>恨</t>
    <rPh sb="0" eb="1">
      <t>ウラ</t>
    </rPh>
    <phoneticPr fontId="1"/>
  </si>
  <si>
    <t>反</t>
    <rPh sb="0" eb="1">
      <t>ハン</t>
    </rPh>
    <phoneticPr fontId="1"/>
  </si>
  <si>
    <t>転</t>
    <rPh sb="0" eb="1">
      <t>テン</t>
    </rPh>
    <phoneticPr fontId="1"/>
  </si>
  <si>
    <t>体</t>
    <rPh sb="0" eb="1">
      <t>カラダ</t>
    </rPh>
    <phoneticPr fontId="1"/>
  </si>
  <si>
    <t>傾</t>
    <rPh sb="0" eb="1">
      <t>ナダレ</t>
    </rPh>
    <phoneticPr fontId="1"/>
  </si>
  <si>
    <t>距</t>
    <rPh sb="0" eb="1">
      <t>キョ</t>
    </rPh>
    <phoneticPr fontId="1"/>
  </si>
  <si>
    <t>離</t>
    <rPh sb="0" eb="1">
      <t>ハナ</t>
    </rPh>
    <phoneticPr fontId="1"/>
  </si>
  <si>
    <t>病</t>
    <rPh sb="0" eb="1">
      <t>ヤマイ</t>
    </rPh>
    <phoneticPr fontId="1"/>
  </si>
  <si>
    <t>院</t>
    <rPh sb="0" eb="1">
      <t>イン</t>
    </rPh>
    <phoneticPr fontId="1"/>
  </si>
  <si>
    <t>うらみ</t>
  </si>
  <si>
    <t>図</t>
    <rPh sb="0" eb="1">
      <t>ズ</t>
    </rPh>
    <phoneticPr fontId="1"/>
  </si>
  <si>
    <t>揺</t>
    <rPh sb="0" eb="1">
      <t>ヨウ</t>
    </rPh>
    <phoneticPr fontId="1"/>
  </si>
  <si>
    <t>近</t>
    <rPh sb="0" eb="1">
      <t>チカ</t>
    </rPh>
    <phoneticPr fontId="1"/>
  </si>
  <si>
    <t>悪</t>
    <rPh sb="0" eb="1">
      <t>アク</t>
    </rPh>
    <phoneticPr fontId="1"/>
  </si>
  <si>
    <t>掟にかんするお知らせ</t>
    <phoneticPr fontId="1"/>
  </si>
  <si>
    <t>遺</t>
    <rPh sb="0" eb="1">
      <t>イ</t>
    </rPh>
    <phoneticPr fontId="1"/>
  </si>
  <si>
    <t>産</t>
    <rPh sb="0" eb="1">
      <t>サン</t>
    </rPh>
    <phoneticPr fontId="1"/>
  </si>
  <si>
    <t>易</t>
    <rPh sb="0" eb="1">
      <t>エキ</t>
    </rPh>
    <phoneticPr fontId="1"/>
  </si>
  <si>
    <t>完</t>
    <rPh sb="0" eb="1">
      <t>カン</t>
    </rPh>
    <phoneticPr fontId="1"/>
  </si>
  <si>
    <t>複</t>
    <rPh sb="0" eb="1">
      <t>フク</t>
    </rPh>
    <phoneticPr fontId="1"/>
  </si>
  <si>
    <t>亘が満たされた</t>
    <rPh sb="2" eb="3">
      <t>ミ</t>
    </rPh>
    <phoneticPr fontId="1"/>
  </si>
  <si>
    <t>伭</t>
  </si>
  <si>
    <r>
      <t>伭名像</t>
    </r>
    <r>
      <rPr>
        <sz val="11"/>
        <color theme="1"/>
        <rFont val="ＭＳ Ｐゴシック"/>
        <family val="2"/>
        <charset val="128"/>
      </rPr>
      <t>/王？</t>
    </r>
    <rPh sb="1" eb="2">
      <t>メイ</t>
    </rPh>
    <rPh sb="2" eb="3">
      <t>ゾウ</t>
    </rPh>
    <rPh sb="4" eb="5">
      <t>オウ</t>
    </rPh>
    <phoneticPr fontId="1"/>
  </si>
  <si>
    <t>伭名像/王？</t>
  </si>
  <si>
    <t>乳偗像/王？</t>
    <phoneticPr fontId="1"/>
  </si>
  <si>
    <t>偗</t>
  </si>
  <si>
    <t>侸</t>
  </si>
  <si>
    <t>侻</t>
  </si>
  <si>
    <r>
      <rPr>
        <sz val="11"/>
        <color theme="1"/>
        <rFont val="Microsoft JhengHei"/>
        <family val="2"/>
        <charset val="136"/>
      </rPr>
      <t>侸</t>
    </r>
    <r>
      <rPr>
        <sz val="11"/>
        <color theme="1"/>
        <rFont val="游ゴシック"/>
        <family val="2"/>
        <charset val="128"/>
        <scheme val="minor"/>
      </rPr>
      <t>侻</t>
    </r>
    <r>
      <rPr>
        <sz val="11"/>
        <color theme="1"/>
        <rFont val="游ゴシック"/>
        <family val="2"/>
        <charset val="136"/>
        <scheme val="minor"/>
      </rPr>
      <t>像/王？</t>
    </r>
    <phoneticPr fontId="1"/>
  </si>
  <si>
    <r>
      <rPr>
        <u/>
        <sz val="11"/>
        <color theme="10"/>
        <rFont val="游ゴシック"/>
        <family val="2"/>
        <charset val="136"/>
        <scheme val="minor"/>
      </rPr>
      <t>侸</t>
    </r>
    <r>
      <rPr>
        <u/>
        <sz val="11"/>
        <color theme="10"/>
        <rFont val="游ゴシック"/>
        <family val="3"/>
        <charset val="128"/>
        <scheme val="minor"/>
      </rPr>
      <t>侻像/王？</t>
    </r>
    <phoneticPr fontId="1"/>
  </si>
  <si>
    <t>さかな屋</t>
    <phoneticPr fontId="1"/>
  </si>
  <si>
    <t>介覗像/王？</t>
    <phoneticPr fontId="1"/>
  </si>
  <si>
    <t>[侻]?</t>
    <phoneticPr fontId="1"/>
  </si>
  <si>
    <t>[俚]?</t>
    <phoneticPr fontId="1"/>
  </si>
  <si>
    <t>[倂]?</t>
    <phoneticPr fontId="1"/>
  </si>
  <si>
    <t>[凘]?</t>
    <phoneticPr fontId="1"/>
  </si>
  <si>
    <r>
      <rPr>
        <sz val="11"/>
        <color theme="1"/>
        <rFont val="游ゴシック"/>
        <family val="2"/>
        <charset val="128"/>
      </rPr>
      <t>[</t>
    </r>
    <r>
      <rPr>
        <sz val="11"/>
        <color theme="1"/>
        <rFont val="Microsoft JhengHei"/>
        <family val="2"/>
        <charset val="136"/>
      </rPr>
      <t>佁</t>
    </r>
    <r>
      <rPr>
        <sz val="11"/>
        <color theme="1"/>
        <rFont val="游ゴシック"/>
        <family val="2"/>
        <charset val="128"/>
      </rPr>
      <t>]</t>
    </r>
    <r>
      <rPr>
        <sz val="11"/>
        <color theme="1"/>
        <rFont val="游ゴシック"/>
        <family val="2"/>
        <charset val="136"/>
        <scheme val="minor"/>
      </rPr>
      <t>?</t>
    </r>
    <phoneticPr fontId="1"/>
  </si>
  <si>
    <r>
      <rPr>
        <sz val="11"/>
        <color theme="1"/>
        <rFont val="游ゴシック"/>
        <family val="2"/>
        <charset val="128"/>
      </rPr>
      <t>[</t>
    </r>
    <r>
      <rPr>
        <sz val="11"/>
        <color theme="1"/>
        <rFont val="Microsoft JhengHei"/>
        <family val="2"/>
        <charset val="136"/>
      </rPr>
      <t>伭</t>
    </r>
    <r>
      <rPr>
        <sz val="11"/>
        <color theme="1"/>
        <rFont val="游ゴシック"/>
        <family val="2"/>
        <charset val="128"/>
        <scheme val="minor"/>
      </rPr>
      <t>]?</t>
    </r>
    <phoneticPr fontId="1"/>
  </si>
  <si>
    <t>[乳]?</t>
    <phoneticPr fontId="1"/>
  </si>
  <si>
    <t>[偗]?</t>
    <phoneticPr fontId="1"/>
  </si>
  <si>
    <r>
      <rPr>
        <sz val="11"/>
        <color theme="1"/>
        <rFont val="游ゴシック"/>
        <family val="2"/>
        <charset val="128"/>
      </rPr>
      <t>[</t>
    </r>
    <r>
      <rPr>
        <sz val="11"/>
        <color theme="1"/>
        <rFont val="Microsoft JhengHei"/>
        <family val="2"/>
        <charset val="136"/>
      </rPr>
      <t>侸</t>
    </r>
    <r>
      <rPr>
        <sz val="11"/>
        <color theme="1"/>
        <rFont val="游ゴシック"/>
        <family val="2"/>
        <charset val="128"/>
      </rPr>
      <t>]</t>
    </r>
    <r>
      <rPr>
        <sz val="11"/>
        <color theme="1"/>
        <rFont val="游ゴシック"/>
        <family val="2"/>
        <charset val="128"/>
        <scheme val="minor"/>
      </rPr>
      <t>?</t>
    </r>
    <phoneticPr fontId="1"/>
  </si>
  <si>
    <t>[亘]?</t>
    <rPh sb="1" eb="2">
      <t>ワタリ</t>
    </rPh>
    <phoneticPr fontId="1"/>
  </si>
  <si>
    <t>いべんと</t>
    <phoneticPr fontId="1"/>
  </si>
  <si>
    <r>
      <t>ない</t>
    </r>
    <r>
      <rPr>
        <sz val="11"/>
        <color theme="1"/>
        <rFont val="Segoe UI Symbol"/>
        <family val="2"/>
      </rPr>
      <t>😭</t>
    </r>
    <phoneticPr fontId="1"/>
  </si>
  <si>
    <t>丣亞乇偄</t>
  </si>
  <si>
    <t>しょく明</t>
    <rPh sb="3" eb="4">
      <t>アカ</t>
    </rPh>
    <phoneticPr fontId="1"/>
  </si>
  <si>
    <t>独特な言い回しだよね</t>
    <rPh sb="0" eb="2">
      <t>ドクトク</t>
    </rPh>
    <rPh sb="3" eb="4">
      <t>イ</t>
    </rPh>
    <rPh sb="5" eb="6">
      <t>マワ</t>
    </rPh>
    <phoneticPr fontId="1"/>
  </si>
  <si>
    <t>丅刄</t>
  </si>
  <si>
    <t>記録</t>
    <rPh sb="0" eb="2">
      <t>キロク</t>
    </rPh>
    <phoneticPr fontId="1"/>
  </si>
  <si>
    <t>過去のデータとか、でてきたり</t>
    <rPh sb="0" eb="2">
      <t>カコ</t>
    </rPh>
    <phoneticPr fontId="1"/>
  </si>
  <si>
    <t>丣伖乱刋丄劏侕儌</t>
  </si>
  <si>
    <t>しゅう年きねん祭</t>
  </si>
  <si>
    <t>乢伥僌丣佳</t>
  </si>
  <si>
    <t>もよおし事</t>
  </si>
  <si>
    <t>亝东侕代佃</t>
  </si>
  <si>
    <t>ちあんい持</t>
    <rPh sb="4" eb="5">
      <t>ジ</t>
    </rPh>
    <phoneticPr fontId="1"/>
  </si>
  <si>
    <t>乇丆丝儵/乇丆丝举</t>
    <phoneticPr fontId="1"/>
  </si>
  <si>
    <t>くすり屋/くすりや</t>
    <rPh sb="3" eb="4">
      <t>ヤ</t>
    </rPh>
    <phoneticPr fontId="1"/>
  </si>
  <si>
    <t>一覧と詳細で表記が違う</t>
    <rPh sb="0" eb="2">
      <t>イチラン</t>
    </rPh>
    <rPh sb="3" eb="5">
      <t>ショウサイ</t>
    </rPh>
    <rPh sb="6" eb="8">
      <t>ヒョウキ</t>
    </rPh>
    <rPh sb="9" eb="10">
      <t>チガ</t>
    </rPh>
    <phoneticPr fontId="1"/>
  </si>
  <si>
    <t>代刬侕乛</t>
    <phoneticPr fontId="1"/>
  </si>
  <si>
    <t>勧</t>
    <rPh sb="0" eb="1">
      <t>ススム</t>
    </rPh>
    <phoneticPr fontId="1"/>
  </si>
  <si>
    <t>誘</t>
    <rPh sb="0" eb="1">
      <t>ユウ</t>
    </rPh>
    <phoneticPr fontId="1"/>
  </si>
  <si>
    <t>無影言本祭について</t>
    <phoneticPr fontId="1"/>
  </si>
  <si>
    <t>主別丟三乌代</t>
  </si>
  <si>
    <t>影捌(?)けのまい</t>
    <rPh sb="0" eb="1">
      <t>カゲ</t>
    </rPh>
    <rPh sb="1" eb="2">
      <t>ベツ</t>
    </rPh>
    <phoneticPr fontId="1"/>
  </si>
  <si>
    <t>东侕劏代</t>
  </si>
  <si>
    <t>あんねい</t>
    <phoneticPr fontId="1"/>
  </si>
  <si>
    <t>什儹</t>
  </si>
  <si>
    <t>地上</t>
    <rPh sb="0" eb="2">
      <t>チジョウ</t>
    </rPh>
    <phoneticPr fontId="1"/>
  </si>
  <si>
    <t>あるべき姿的なのがあったりしないかな</t>
    <rPh sb="4" eb="5">
      <t>スガタ</t>
    </rPh>
    <rPh sb="5" eb="6">
      <t>テキ</t>
    </rPh>
    <phoneticPr fontId="1"/>
  </si>
  <si>
    <t>万侕伸侕</t>
  </si>
  <si>
    <t>はんてん</t>
    <phoneticPr fontId="1"/>
  </si>
  <si>
    <t>亘</t>
  </si>
  <si>
    <t>満たされたもの</t>
    <rPh sb="0" eb="1">
      <t>ミ</t>
    </rPh>
    <phoneticPr fontId="1"/>
  </si>
  <si>
    <t>减倏</t>
  </si>
  <si>
    <t>閉店</t>
    <rPh sb="0" eb="2">
      <t>ヘイテン</t>
    </rPh>
    <phoneticPr fontId="1"/>
  </si>
  <si>
    <t>多分調べた</t>
    <rPh sb="0" eb="3">
      <t>タブンシラ</t>
    </rPh>
    <phoneticPr fontId="1"/>
  </si>
  <si>
    <t>勀假</t>
  </si>
  <si>
    <t>弔われる者</t>
    <rPh sb="0" eb="1">
      <t>トムラ</t>
    </rPh>
    <rPh sb="4" eb="5">
      <t>モノ</t>
    </rPh>
    <phoneticPr fontId="1"/>
  </si>
  <si>
    <t>且亞乱代侕</t>
  </si>
  <si>
    <t>びょういん</t>
    <phoneticPr fontId="1"/>
  </si>
  <si>
    <t>不</t>
    <rPh sb="0" eb="1">
      <t>フ</t>
    </rPh>
    <phoneticPr fontId="1"/>
  </si>
  <si>
    <t>倍</t>
  </si>
  <si>
    <t>良</t>
    <rPh sb="0" eb="1">
      <t>ヨ</t>
    </rPh>
    <phoneticPr fontId="1"/>
  </si>
  <si>
    <t>たいちょう不良</t>
    <rPh sb="5" eb="7">
      <t>フリョウ</t>
    </rPh>
    <phoneticPr fontId="1"/>
  </si>
  <si>
    <t>お急ぎ ・急なやまい</t>
    <rPh sb="1" eb="2">
      <t>イソ</t>
    </rPh>
    <rPh sb="5" eb="6">
      <t>キュウ</t>
    </rPh>
    <phoneticPr fontId="1"/>
  </si>
  <si>
    <t>対おう ・対しょ</t>
    <rPh sb="0" eb="1">
      <t>タイ</t>
    </rPh>
    <rPh sb="5" eb="6">
      <t>タイ</t>
    </rPh>
    <phoneticPr fontId="1"/>
  </si>
  <si>
    <t>第1区</t>
    <rPh sb="0" eb="1">
      <t>ダイ</t>
    </rPh>
    <rPh sb="2" eb="3">
      <t>ク</t>
    </rPh>
    <phoneticPr fontId="1"/>
  </si>
  <si>
    <t>はば広い ・広場</t>
    <rPh sb="2" eb="3">
      <t>ヒロ</t>
    </rPh>
    <rPh sb="6" eb="8">
      <t>ヒロバ</t>
    </rPh>
    <phoneticPr fontId="1"/>
  </si>
  <si>
    <t>集かい所</t>
    <rPh sb="0" eb="1">
      <t>シュウ</t>
    </rPh>
    <rPh sb="3" eb="4">
      <t>ジョ</t>
    </rPh>
    <phoneticPr fontId="1"/>
  </si>
  <si>
    <t>集めた ・集かい所</t>
    <rPh sb="0" eb="1">
      <t>アツ</t>
    </rPh>
    <rPh sb="5" eb="6">
      <t>シュウ</t>
    </rPh>
    <rPh sb="8" eb="9">
      <t>ジョ</t>
    </rPh>
    <phoneticPr fontId="1"/>
  </si>
  <si>
    <t>集</t>
    <phoneticPr fontId="1"/>
  </si>
  <si>
    <t>音</t>
    <phoneticPr fontId="1"/>
  </si>
  <si>
    <t>りずむと音 ・音楽ずき</t>
    <rPh sb="4" eb="5">
      <t>オト</t>
    </rPh>
    <rPh sb="7" eb="9">
      <t>オンガク</t>
    </rPh>
    <phoneticPr fontId="1"/>
  </si>
  <si>
    <t>第4区</t>
    <rPh sb="0" eb="1">
      <t>ダイ</t>
    </rPh>
    <rPh sb="2" eb="3">
      <t>ク</t>
    </rPh>
    <phoneticPr fontId="1"/>
  </si>
  <si>
    <t>第5区</t>
    <rPh sb="0" eb="1">
      <t>ダイ</t>
    </rPh>
    <rPh sb="2" eb="3">
      <t>ク</t>
    </rPh>
    <phoneticPr fontId="1"/>
  </si>
  <si>
    <t>体</t>
    <rPh sb="0" eb="1">
      <t>タイ</t>
    </rPh>
    <phoneticPr fontId="1"/>
  </si>
  <si>
    <t>調</t>
    <rPh sb="0" eb="1">
      <t>チョウ</t>
    </rPh>
    <phoneticPr fontId="1"/>
  </si>
  <si>
    <t>処</t>
    <rPh sb="0" eb="1">
      <t>トコロ</t>
    </rPh>
    <phoneticPr fontId="1"/>
  </si>
  <si>
    <t>台</t>
    <rPh sb="0" eb="1">
      <t>ダイ</t>
    </rPh>
    <phoneticPr fontId="1"/>
  </si>
  <si>
    <t>飲</t>
    <rPh sb="0" eb="1">
      <t>ノ</t>
    </rPh>
    <phoneticPr fontId="1"/>
  </si>
  <si>
    <t>第2区</t>
  </si>
  <si>
    <t>趣</t>
    <rPh sb="0" eb="1">
      <t>オモムキ</t>
    </rPh>
    <phoneticPr fontId="1"/>
  </si>
  <si>
    <t>関</t>
    <rPh sb="0" eb="1">
      <t>セキ</t>
    </rPh>
    <phoneticPr fontId="1"/>
  </si>
  <si>
    <t>工</t>
    <rPh sb="0" eb="1">
      <t>コウ</t>
    </rPh>
    <phoneticPr fontId="1"/>
  </si>
  <si>
    <t>成</t>
    <rPh sb="0" eb="1">
      <t>シゲル</t>
    </rPh>
    <phoneticPr fontId="1"/>
  </si>
  <si>
    <t>第3区</t>
    <rPh sb="0" eb="1">
      <t>ダイ</t>
    </rPh>
    <rPh sb="2" eb="3">
      <t>ク</t>
    </rPh>
    <phoneticPr fontId="1"/>
  </si>
  <si>
    <t>復</t>
    <rPh sb="0" eb="1">
      <t>マタ</t>
    </rPh>
    <phoneticPr fontId="1"/>
  </si>
  <si>
    <t>旧</t>
    <rPh sb="0" eb="1">
      <t>キュウ</t>
    </rPh>
    <phoneticPr fontId="1"/>
  </si>
  <si>
    <t>お客様 ・勀客 ・客を集めて</t>
    <rPh sb="1" eb="3">
      <t>キャクサマ</t>
    </rPh>
    <rPh sb="9" eb="10">
      <t>キャク</t>
    </rPh>
    <rPh sb="11" eb="12">
      <t>アツ</t>
    </rPh>
    <phoneticPr fontId="1"/>
  </si>
  <si>
    <t>験</t>
    <rPh sb="0" eb="1">
      <t>ゲン</t>
    </rPh>
    <phoneticPr fontId="1"/>
  </si>
  <si>
    <t>故</t>
    <rPh sb="0" eb="1">
      <t>ユエ</t>
    </rPh>
    <phoneticPr fontId="1"/>
  </si>
  <si>
    <t>佳一</t>
  </si>
  <si>
    <t>事こ</t>
    <rPh sb="0" eb="1">
      <t>コト</t>
    </rPh>
    <phoneticPr fontId="1"/>
  </si>
  <si>
    <t>重ね ・重よう</t>
    <rPh sb="0" eb="1">
      <t>カサ</t>
    </rPh>
    <rPh sb="4" eb="5">
      <t>ジュウ</t>
    </rPh>
    <phoneticPr fontId="1"/>
  </si>
  <si>
    <t>重</t>
    <phoneticPr fontId="1"/>
  </si>
  <si>
    <t>対</t>
    <phoneticPr fontId="1"/>
  </si>
  <si>
    <r>
      <rPr>
        <sz val="11"/>
        <color theme="1"/>
        <rFont val="Microsoft JhengHei"/>
        <family val="2"/>
        <charset val="136"/>
      </rPr>
      <t>壁</t>
    </r>
    <r>
      <rPr>
        <sz val="11"/>
        <color theme="1"/>
        <rFont val="游ゴシック"/>
        <family val="2"/>
        <charset val="128"/>
      </rPr>
      <t xml:space="preserve"> ・</t>
    </r>
    <r>
      <rPr>
        <sz val="11"/>
        <color theme="1"/>
        <rFont val="Microsoft JhengHei"/>
        <family val="2"/>
        <charset val="136"/>
      </rPr>
      <t>佁</t>
    </r>
    <r>
      <rPr>
        <sz val="11"/>
        <color theme="1"/>
        <rFont val="游ゴシック"/>
        <family val="3"/>
        <charset val="128"/>
        <scheme val="minor"/>
      </rPr>
      <t>壁？</t>
    </r>
    <rPh sb="0" eb="1">
      <t>カベ</t>
    </rPh>
    <phoneticPr fontId="1"/>
  </si>
  <si>
    <t>前</t>
    <rPh sb="0" eb="1">
      <t>マエ</t>
    </rPh>
    <phoneticPr fontId="1"/>
  </si>
  <si>
    <t>供</t>
    <rPh sb="0" eb="1">
      <t>ソナ</t>
    </rPh>
    <phoneticPr fontId="1"/>
  </si>
  <si>
    <t>勢</t>
    <rPh sb="0" eb="1">
      <t>ゼイ</t>
    </rPh>
    <phoneticPr fontId="1"/>
  </si>
  <si>
    <t>壇</t>
    <rPh sb="0" eb="1">
      <t>ダン</t>
    </rPh>
    <phoneticPr fontId="1"/>
  </si>
  <si>
    <t>祭だん</t>
    <rPh sb="0" eb="1">
      <t>サイ</t>
    </rPh>
    <phoneticPr fontId="1"/>
  </si>
  <si>
    <t>ないっっ</t>
    <phoneticPr fontId="1"/>
  </si>
  <si>
    <t>広</t>
    <phoneticPr fontId="1"/>
  </si>
  <si>
    <t>避?</t>
    <rPh sb="0" eb="1">
      <t>ヨ</t>
    </rPh>
    <phoneticPr fontId="1"/>
  </si>
  <si>
    <r>
      <t>影避けの舞 ・避</t>
    </r>
    <r>
      <rPr>
        <sz val="11"/>
        <color theme="1"/>
        <rFont val="Microsoft JhengHei"/>
        <family val="2"/>
        <charset val="136"/>
      </rPr>
      <t>侱</t>
    </r>
    <r>
      <rPr>
        <sz val="11"/>
        <color theme="1"/>
        <rFont val="游ゴシック"/>
        <family val="3"/>
        <charset val="128"/>
        <scheme val="minor"/>
      </rPr>
      <t>所？</t>
    </r>
    <rPh sb="0" eb="1">
      <t>カゲ</t>
    </rPh>
    <rPh sb="1" eb="2">
      <t>サ</t>
    </rPh>
    <rPh sb="4" eb="5">
      <t>マイ</t>
    </rPh>
    <rPh sb="7" eb="8">
      <t>ヒ</t>
    </rPh>
    <phoneticPr fontId="1"/>
  </si>
  <si>
    <r>
      <rPr>
        <sz val="11"/>
        <color theme="1"/>
        <rFont val="游ゴシック"/>
        <family val="3"/>
        <charset val="128"/>
        <scheme val="minor"/>
      </rPr>
      <t>避難所</t>
    </r>
    <r>
      <rPr>
        <sz val="11"/>
        <color theme="1"/>
        <rFont val="游ゴシック"/>
        <family val="2"/>
        <charset val="128"/>
        <scheme val="minor"/>
      </rPr>
      <t>？</t>
    </r>
    <rPh sb="0" eb="2">
      <t>ヒナン</t>
    </rPh>
    <phoneticPr fontId="1"/>
  </si>
  <si>
    <t>難?</t>
    <rPh sb="0" eb="1">
      <t>ナン</t>
    </rPh>
    <phoneticPr fontId="1"/>
  </si>
  <si>
    <t>急</t>
    <phoneticPr fontId="1"/>
  </si>
  <si>
    <t>いさん</t>
    <phoneticPr fontId="1"/>
  </si>
  <si>
    <t>伳乌仃</t>
    <phoneticPr fontId="1"/>
  </si>
  <si>
    <t>名まえ</t>
    <rPh sb="0" eb="1">
      <t>ナ</t>
    </rPh>
    <phoneticPr fontId="1"/>
  </si>
  <si>
    <t>亡亘</t>
    <phoneticPr fontId="1"/>
  </si>
  <si>
    <t>満○</t>
    <rPh sb="0" eb="1">
      <t>マン</t>
    </rPh>
    <phoneticPr fontId="1"/>
  </si>
  <si>
    <t>りゅう置</t>
    <rPh sb="3" eb="4">
      <t>オ</t>
    </rPh>
    <phoneticPr fontId="1"/>
  </si>
  <si>
    <t>もんだい</t>
    <phoneticPr fontId="1"/>
  </si>
  <si>
    <t>うらみ=疫病？</t>
    <rPh sb="4" eb="6">
      <t>エキビョウ</t>
    </rPh>
    <phoneticPr fontId="1"/>
  </si>
  <si>
    <t>トイレを整備とかそれっぽい</t>
    <rPh sb="4" eb="6">
      <t>セイビ</t>
    </rPh>
    <phoneticPr fontId="1"/>
  </si>
  <si>
    <t>丟代匵佫别</t>
  </si>
  <si>
    <t>买乱举</t>
    <phoneticPr fontId="1"/>
  </si>
  <si>
    <t>ろうや</t>
    <phoneticPr fontId="1"/>
  </si>
  <si>
    <t>○客</t>
    <rPh sb="1" eb="2">
      <t>キャク</t>
    </rPh>
    <phoneticPr fontId="1"/>
  </si>
  <si>
    <t>丆俊仝乛</t>
  </si>
  <si>
    <t>すぽっと</t>
    <phoneticPr fontId="1"/>
  </si>
  <si>
    <t>命</t>
    <rPh sb="0" eb="1">
      <t>イノチ</t>
    </rPh>
    <phoneticPr fontId="1"/>
  </si>
  <si>
    <t>世乇＊</t>
  </si>
  <si>
    <t>たく？</t>
    <phoneticPr fontId="1"/>
  </si>
  <si>
    <t>備乐侕</t>
  </si>
  <si>
    <t>新せん</t>
    <rPh sb="0" eb="1">
      <t>シン</t>
    </rPh>
    <phoneticPr fontId="1"/>
  </si>
  <si>
    <t>乛倈乏代</t>
  </si>
  <si>
    <t>とむらい</t>
    <phoneticPr fontId="1"/>
  </si>
  <si>
    <t>丑丄佒</t>
  </si>
  <si>
    <t>生き物</t>
    <rPh sb="0" eb="1">
      <t>イ</t>
    </rPh>
    <rPh sb="2" eb="3">
      <t>モノ</t>
    </rPh>
    <phoneticPr fontId="1"/>
  </si>
  <si>
    <t>兡代乏代</t>
  </si>
  <si>
    <t>ごいらい</t>
    <phoneticPr fontId="1"/>
  </si>
  <si>
    <t>什儺伏乐侕乢侕</t>
  </si>
  <si>
    <t>地下街せんもん</t>
    <rPh sb="0" eb="3">
      <t>チカガイ</t>
    </rPh>
    <phoneticPr fontId="1"/>
  </si>
  <si>
    <t>个傫侕</t>
  </si>
  <si>
    <t>一ぱん</t>
    <rPh sb="0" eb="1">
      <t>イッ</t>
    </rPh>
    <phoneticPr fontId="1"/>
  </si>
  <si>
    <t>乱侕亃乱</t>
  </si>
  <si>
    <t>うんそう</t>
    <phoneticPr fontId="1"/>
  </si>
  <si>
    <t>丣亞乱伕侕</t>
  </si>
  <si>
    <t>しょうひん</t>
    <phoneticPr fontId="1"/>
  </si>
  <si>
    <t>伥兡丢</t>
    <phoneticPr fontId="1"/>
  </si>
  <si>
    <t>よごれ</t>
    <phoneticPr fontId="1"/>
  </si>
  <si>
    <t>丄丢代</t>
  </si>
  <si>
    <t>きれい</t>
    <phoneticPr fontId="1"/>
  </si>
  <si>
    <t>剃亃乱</t>
  </si>
  <si>
    <t>清そう</t>
    <rPh sb="0" eb="1">
      <t>キヨ</t>
    </rPh>
    <phoneticPr fontId="1"/>
  </si>
  <si>
    <t>丌乇亝亞乱</t>
  </si>
  <si>
    <t>かくちょう</t>
    <phoneticPr fontId="1"/>
  </si>
  <si>
    <t>丟代一乇</t>
  </si>
  <si>
    <t>けいこく</t>
    <phoneticPr fontId="1"/>
  </si>
  <si>
    <t>劈劉</t>
  </si>
  <si>
    <t>情報？</t>
    <rPh sb="0" eb="2">
      <t>ジョウホウ</t>
    </rPh>
    <phoneticPr fontId="1"/>
  </si>
  <si>
    <t>丟代丣亞乱</t>
  </si>
  <si>
    <t>けいしょう</t>
    <phoneticPr fontId="1"/>
  </si>
  <si>
    <t>僌傯傰侕</t>
  </si>
  <si>
    <t>おーぷん</t>
    <phoneticPr fontId="1"/>
  </si>
  <si>
    <t>兡倚</t>
  </si>
  <si>
    <t>ご楽</t>
    <rPh sb="1" eb="2">
      <t>ラク</t>
    </rPh>
    <phoneticPr fontId="1"/>
  </si>
  <si>
    <t>勇儿</t>
  </si>
  <si>
    <t>保存</t>
    <rPh sb="0" eb="2">
      <t>ホゾン</t>
    </rPh>
    <phoneticPr fontId="1"/>
  </si>
  <si>
    <t>劏仝乛</t>
  </si>
  <si>
    <t>ねっと</t>
    <phoneticPr fontId="1"/>
  </si>
  <si>
    <t>一乱勓</t>
  </si>
  <si>
    <t>こう開</t>
    <rPh sb="2" eb="3">
      <t>カイ</t>
    </rPh>
    <phoneticPr fontId="1"/>
  </si>
  <si>
    <t>举乇兰丝</t>
  </si>
  <si>
    <t>やくわり</t>
    <phoneticPr fontId="1"/>
  </si>
  <si>
    <t>代乡侕</t>
    <phoneticPr fontId="1"/>
  </si>
  <si>
    <t>丝伖乱划</t>
    <phoneticPr fontId="1"/>
  </si>
  <si>
    <t>乢侕乯代</t>
    <phoneticPr fontId="1"/>
  </si>
  <si>
    <t>亾亿什</t>
    <phoneticPr fontId="1"/>
  </si>
  <si>
    <t>仑仒</t>
    <phoneticPr fontId="1"/>
  </si>
  <si>
    <t>異形？</t>
    <rPh sb="0" eb="2">
      <t>イギョウ</t>
    </rPh>
    <phoneticPr fontId="1"/>
  </si>
  <si>
    <t>仩仪仫</t>
    <phoneticPr fontId="1"/>
  </si>
  <si>
    <t>親○色？</t>
    <rPh sb="0" eb="1">
      <t>オヤ</t>
    </rPh>
    <rPh sb="2" eb="3">
      <t>イロ</t>
    </rPh>
    <phoneticPr fontId="1"/>
  </si>
  <si>
    <t>防○地？</t>
    <rPh sb="0" eb="1">
      <t>ボウ</t>
    </rPh>
    <rPh sb="2" eb="3">
      <t>チ</t>
    </rPh>
    <phoneticPr fontId="1"/>
  </si>
  <si>
    <t>佲佳</t>
    <phoneticPr fontId="1"/>
  </si>
  <si>
    <t>食事</t>
    <rPh sb="0" eb="2">
      <t>ショクジ</t>
    </rPh>
    <phoneticPr fontId="1"/>
  </si>
  <si>
    <t>佫佬</t>
    <phoneticPr fontId="1"/>
  </si>
  <si>
    <t>本壁？</t>
    <rPh sb="0" eb="1">
      <t>ホン</t>
    </rPh>
    <rPh sb="1" eb="2">
      <t>カベ</t>
    </rPh>
    <phoneticPr fontId="1"/>
  </si>
  <si>
    <t>出展</t>
    <rPh sb="0" eb="2">
      <t>シュッテン</t>
    </rPh>
    <phoneticPr fontId="1"/>
  </si>
  <si>
    <t>真ん中ローラー？</t>
    <rPh sb="0" eb="1">
      <t>マ</t>
    </rPh>
    <rPh sb="2" eb="3">
      <t>ナカ</t>
    </rPh>
    <phoneticPr fontId="1"/>
  </si>
  <si>
    <t>unicode表</t>
  </si>
  <si>
    <t>桶地下考</t>
    <rPh sb="0" eb="4">
      <t>オケチカコウ</t>
    </rPh>
    <phoneticPr fontId="1"/>
  </si>
  <si>
    <t>勀勁</t>
    <phoneticPr fontId="1"/>
  </si>
  <si>
    <t>勀化</t>
    <rPh sb="1" eb="2">
      <t>カ</t>
    </rPh>
    <phoneticPr fontId="1"/>
  </si>
  <si>
    <t>剷剸</t>
    <phoneticPr fontId="1"/>
  </si>
  <si>
    <t>定文</t>
    <rPh sb="0" eb="2">
      <t>サダメフミ</t>
    </rPh>
    <phoneticPr fontId="1"/>
  </si>
  <si>
    <t>unicode表</t>
    <phoneticPr fontId="1"/>
  </si>
  <si>
    <t>不満</t>
    <rPh sb="0" eb="2">
      <t>フマン</t>
    </rPh>
    <phoneticPr fontId="1"/>
  </si>
  <si>
    <t>-</t>
    <phoneticPr fontId="1"/>
  </si>
  <si>
    <t>上亡</t>
    <phoneticPr fontId="1"/>
  </si>
  <si>
    <t>満</t>
    <rPh sb="0" eb="1">
      <t>ミチル</t>
    </rPh>
    <phoneticPr fontId="1"/>
  </si>
  <si>
    <t>佄俥不代</t>
  </si>
  <si>
    <t>つぐない</t>
    <phoneticPr fontId="1"/>
  </si>
  <si>
    <t>亏仝丟侕丣佄</t>
    <phoneticPr fontId="1"/>
  </si>
  <si>
    <t>じっけんしつ</t>
    <phoneticPr fontId="1"/>
  </si>
  <si>
    <t>駄菓子屋</t>
  </si>
  <si>
    <t>料亭</t>
  </si>
  <si>
    <t>青果店</t>
  </si>
  <si>
    <t>和菓子屋</t>
  </si>
  <si>
    <t>カフェ</t>
  </si>
  <si>
    <t>酒屋</t>
  </si>
  <si>
    <t>焼肉屋</t>
  </si>
  <si>
    <t>ビストロ</t>
  </si>
  <si>
    <t>スナック</t>
  </si>
  <si>
    <t>乯両丣儵</t>
    <phoneticPr fontId="1"/>
  </si>
  <si>
    <t>食堂</t>
    <phoneticPr fontId="1"/>
  </si>
  <si>
    <t>佲亠乱</t>
    <phoneticPr fontId="1"/>
  </si>
  <si>
    <t>丝亞乱丝伸代</t>
    <phoneticPr fontId="1"/>
  </si>
  <si>
    <t>乐代丌倏</t>
    <phoneticPr fontId="1"/>
  </si>
  <si>
    <t>兰両丣儵</t>
    <phoneticPr fontId="1"/>
  </si>
  <si>
    <t>丌亩侔</t>
    <phoneticPr fontId="1"/>
  </si>
  <si>
    <t>乡丌儵</t>
    <phoneticPr fontId="1"/>
  </si>
  <si>
    <t>举丄丂乇儵</t>
    <phoneticPr fontId="1"/>
  </si>
  <si>
    <t>且丆乛买</t>
    <phoneticPr fontId="1"/>
  </si>
  <si>
    <t>丆不仝乇</t>
    <phoneticPr fontId="1"/>
  </si>
  <si>
    <t>ありそうな、「閉店した店」</t>
    <rPh sb="7" eb="9">
      <t>ヘイテン</t>
    </rPh>
    <rPh sb="11" eb="12">
      <t>ミセ</t>
    </rPh>
    <phoneticPr fontId="1"/>
  </si>
  <si>
    <t>桶地下サイト</t>
    <rPh sb="0" eb="1">
      <t>オケ</t>
    </rPh>
    <rPh sb="1" eb="3">
      <t>チカ</t>
    </rPh>
    <phoneticPr fontId="1"/>
  </si>
  <si>
    <t>公式サイト</t>
    <rPh sb="0" eb="2">
      <t>コウシキ</t>
    </rPh>
    <phoneticPr fontId="1"/>
  </si>
  <si>
    <t>関?</t>
    <rPh sb="0" eb="1">
      <t>カカ</t>
    </rPh>
    <phoneticPr fontId="1"/>
  </si>
  <si>
    <t>儐</t>
  </si>
  <si>
    <t>係?</t>
    <rPh sb="0" eb="1">
      <t>カカリ</t>
    </rPh>
    <phoneticPr fontId="1"/>
  </si>
  <si>
    <t>無関係</t>
    <rPh sb="0" eb="3">
      <t>ムカンケイ</t>
    </rPh>
    <phoneticPr fontId="1"/>
  </si>
  <si>
    <t>さか屋</t>
    <rPh sb="2" eb="3">
      <t>ヤ</t>
    </rPh>
    <phoneticPr fontId="1"/>
  </si>
  <si>
    <t>丽</t>
  </si>
  <si>
    <t>匇</t>
  </si>
  <si>
    <t>愛?</t>
    <rPh sb="0" eb="1">
      <t>アイ</t>
    </rPh>
    <phoneticPr fontId="1"/>
  </si>
  <si>
    <t>ご愛こ</t>
    <rPh sb="1" eb="2">
      <t>アイ</t>
    </rPh>
    <phoneticPr fontId="1"/>
  </si>
  <si>
    <t>凪</t>
  </si>
  <si>
    <t>断?</t>
    <rPh sb="0" eb="1">
      <t>コトワ</t>
    </rPh>
    <phoneticPr fontId="1"/>
  </si>
  <si>
    <t>お断りします</t>
    <rPh sb="1" eb="2">
      <t>コトワ</t>
    </rPh>
    <phoneticPr fontId="1"/>
  </si>
  <si>
    <t>おきに入り ・入店</t>
    <rPh sb="3" eb="4">
      <t>イ</t>
    </rPh>
    <rPh sb="7" eb="9">
      <t>ニュウテン</t>
    </rPh>
    <phoneticPr fontId="1"/>
  </si>
  <si>
    <t>関わる ・無関係？</t>
    <rPh sb="0" eb="1">
      <t>カカ</t>
    </rPh>
    <rPh sb="5" eb="8">
      <t>ムカンケイ</t>
    </rPh>
    <phoneticPr fontId="1"/>
  </si>
  <si>
    <t>ぼ</t>
    <phoneticPr fontId="1"/>
  </si>
  <si>
    <r>
      <t>おぼ</t>
    </r>
    <r>
      <rPr>
        <sz val="11"/>
        <color theme="1"/>
        <rFont val="游ゴシック"/>
        <family val="3"/>
        <charset val="128"/>
        <scheme val="minor"/>
      </rPr>
      <t>ろ区</t>
    </r>
    <phoneticPr fontId="1"/>
  </si>
  <si>
    <t>おぼろ区</t>
  </si>
  <si>
    <t>しゅくきぎ</t>
    <phoneticPr fontId="1"/>
  </si>
  <si>
    <t>桶地下考</t>
    <rPh sb="0" eb="3">
      <t>オケチカ</t>
    </rPh>
    <rPh sb="3" eb="4">
      <t>コウ</t>
    </rPh>
    <phoneticPr fontId="1"/>
  </si>
  <si>
    <t>丣伖乇丄亇</t>
    <phoneticPr fontId="1"/>
  </si>
  <si>
    <t>あった←？？！</t>
    <phoneticPr fontId="1"/>
  </si>
  <si>
    <t>○本壁とかかもしれない</t>
    <rPh sb="1" eb="2">
      <t>ホン</t>
    </rPh>
    <rPh sb="2" eb="3">
      <t>カベ</t>
    </rPh>
    <phoneticPr fontId="1"/>
  </si>
  <si>
    <t>普</t>
    <rPh sb="0" eb="1">
      <t>フ</t>
    </rPh>
    <phoneticPr fontId="1"/>
  </si>
  <si>
    <t>傚丄亇</t>
    <phoneticPr fontId="1"/>
  </si>
  <si>
    <t>祝きぎ</t>
    <rPh sb="0" eb="1">
      <t>シュク</t>
    </rPh>
    <phoneticPr fontId="1"/>
  </si>
  <si>
    <t>記</t>
    <rPh sb="0" eb="1">
      <t>キ</t>
    </rPh>
    <phoneticPr fontId="1"/>
  </si>
  <si>
    <t>寄?</t>
    <rPh sb="0" eb="1">
      <t>ヨ</t>
    </rPh>
    <phoneticPr fontId="1"/>
  </si>
  <si>
    <t>生</t>
    <rPh sb="0" eb="1">
      <t>イ</t>
    </rPh>
    <phoneticPr fontId="1"/>
  </si>
  <si>
    <t>僌丽买儼乡丌儵</t>
  </si>
  <si>
    <t>おぼろ区さか屋</t>
    <rPh sb="3" eb="4">
      <t>ク</t>
    </rPh>
    <rPh sb="6" eb="7">
      <t>ヤ</t>
    </rPh>
    <phoneticPr fontId="1"/>
  </si>
  <si>
    <t>伛争</t>
  </si>
  <si>
    <t>合ず</t>
    <rPh sb="0" eb="1">
      <t>ア</t>
    </rPh>
    <phoneticPr fontId="1"/>
  </si>
  <si>
    <t>単漢字</t>
    <rPh sb="0" eb="3">
      <t>タンカンジ</t>
    </rPh>
    <phoneticPr fontId="1"/>
  </si>
  <si>
    <t>バッグに残されていたメモ　祝○儀？</t>
    <rPh sb="4" eb="5">
      <t>ノコ</t>
    </rPh>
    <rPh sb="13" eb="14">
      <t>シュク</t>
    </rPh>
    <rPh sb="15" eb="16">
      <t>ギ</t>
    </rPh>
    <phoneticPr fontId="1"/>
  </si>
  <si>
    <t>々</t>
    <phoneticPr fontId="1"/>
  </si>
  <si>
    <t>再へん ・再ど</t>
    <rPh sb="0" eb="1">
      <t>サイ</t>
    </rPh>
    <rPh sb="5" eb="6">
      <t>サイ</t>
    </rPh>
    <phoneticPr fontId="1"/>
  </si>
  <si>
    <t>儷</t>
  </si>
  <si>
    <t>除?</t>
    <rPh sb="0" eb="1">
      <t>ジョ</t>
    </rPh>
    <phoneticPr fontId="1"/>
  </si>
  <si>
    <t>さく除されたか</t>
    <rPh sb="2" eb="3">
      <t>ノゾ</t>
    </rPh>
    <phoneticPr fontId="1"/>
  </si>
  <si>
    <t>エラーページ</t>
    <phoneticPr fontId="1"/>
  </si>
  <si>
    <t>丠</t>
  </si>
  <si>
    <t>継?</t>
    <rPh sb="0" eb="1">
      <t>ツ</t>
    </rPh>
    <phoneticPr fontId="1"/>
  </si>
  <si>
    <t>业</t>
  </si>
  <si>
    <t>葉?</t>
    <rPh sb="0" eb="1">
      <t>ハ</t>
    </rPh>
    <phoneticPr fontId="1"/>
  </si>
  <si>
    <t>愛情？</t>
    <rPh sb="0" eb="2">
      <t>アイジョウ</t>
    </rPh>
    <phoneticPr fontId="1"/>
  </si>
  <si>
    <t>来</t>
    <rPh sb="0" eb="1">
      <t>ライ</t>
    </rPh>
    <phoneticPr fontId="1"/>
  </si>
  <si>
    <t>匇劈</t>
    <phoneticPr fontId="1"/>
  </si>
  <si>
    <t>仢</t>
    <phoneticPr fontId="1"/>
  </si>
  <si>
    <t>亡仢乇</t>
    <phoneticPr fontId="1"/>
  </si>
  <si>
    <t>満ぞく</t>
    <rPh sb="0" eb="1">
      <t>マン</t>
    </rPh>
    <phoneticPr fontId="1"/>
  </si>
  <si>
    <t>-</t>
    <phoneticPr fontId="1"/>
  </si>
  <si>
    <t>儌乥举剪</t>
    <phoneticPr fontId="1"/>
  </si>
  <si>
    <t>祭ばや子</t>
    <rPh sb="0" eb="1">
      <t>マツ</t>
    </rPh>
    <rPh sb="3" eb="4">
      <t>コ</t>
    </rPh>
    <phoneticPr fontId="1"/>
  </si>
  <si>
    <t>桶地下孝</t>
    <rPh sb="0" eb="3">
      <t>オケチカ</t>
    </rPh>
    <rPh sb="3" eb="4">
      <t>コウ</t>
    </rPh>
    <phoneticPr fontId="1"/>
  </si>
  <si>
    <t>主</t>
    <phoneticPr fontId="1"/>
  </si>
  <si>
    <t>倾主</t>
    <phoneticPr fontId="1"/>
  </si>
  <si>
    <t>人影</t>
    <rPh sb="0" eb="2">
      <t>ヒトカゲ</t>
    </rPh>
    <phoneticPr fontId="1"/>
  </si>
  <si>
    <t>-</t>
    <phoneticPr fontId="1"/>
  </si>
  <si>
    <t>佤</t>
    <phoneticPr fontId="1"/>
  </si>
  <si>
    <t>冯</t>
    <phoneticPr fontId="1"/>
  </si>
  <si>
    <t>亳</t>
    <phoneticPr fontId="1"/>
  </si>
  <si>
    <t>万冯亳</t>
    <phoneticPr fontId="1"/>
  </si>
  <si>
    <t>はざ間</t>
    <rPh sb="2" eb="3">
      <t>アイダ</t>
    </rPh>
    <phoneticPr fontId="1"/>
  </si>
  <si>
    <t>一</t>
    <phoneticPr fontId="1"/>
  </si>
  <si>
    <t>一乱仃侕</t>
    <phoneticPr fontId="1"/>
  </si>
  <si>
    <t>こうえん</t>
    <phoneticPr fontId="1"/>
  </si>
  <si>
    <t>桶地下考</t>
    <rPh sb="0" eb="3">
      <t>オケチカ</t>
    </rPh>
    <rPh sb="3" eb="4">
      <t>カンガ</t>
    </rPh>
    <phoneticPr fontId="1"/>
  </si>
  <si>
    <t>伕佄亇</t>
    <phoneticPr fontId="1"/>
  </si>
  <si>
    <t>ひつぎ</t>
    <phoneticPr fontId="1"/>
  </si>
  <si>
    <t>桶地下考</t>
    <rPh sb="0" eb="3">
      <t>オケチカ</t>
    </rPh>
    <rPh sb="3" eb="4">
      <t>コウ</t>
    </rPh>
    <phoneticPr fontId="1"/>
  </si>
  <si>
    <t>丌侕僌丟</t>
    <phoneticPr fontId="1"/>
  </si>
  <si>
    <t>かんおけ</t>
    <phoneticPr fontId="1"/>
  </si>
  <si>
    <t>别伥乱</t>
    <phoneticPr fontId="1"/>
  </si>
  <si>
    <t>ぶよう</t>
    <phoneticPr fontId="1"/>
  </si>
  <si>
    <t>遷?</t>
    <phoneticPr fontId="1"/>
  </si>
  <si>
    <t>罪を受けて遠い土地へ流された人や、左遷された人</t>
  </si>
  <si>
    <t>遷客</t>
  </si>
  <si>
    <t>遷化</t>
    <rPh sb="1" eb="2">
      <t>バ</t>
    </rPh>
    <phoneticPr fontId="1"/>
  </si>
  <si>
    <t>サイト</t>
    <phoneticPr fontId="1"/>
  </si>
  <si>
    <t>unicode</t>
    <phoneticPr fontId="1"/>
  </si>
  <si>
    <t>高僧の死亡を、婉曲的に、かつ、敬っていう語</t>
  </si>
  <si>
    <t>過○のお知らせ</t>
    <rPh sb="0" eb="1">
      <t>カ</t>
    </rPh>
    <rPh sb="4" eb="5">
      <t>シ</t>
    </rPh>
    <phoneticPr fontId="1"/>
  </si>
  <si>
    <t>なさげ</t>
    <phoneticPr fontId="1"/>
  </si>
  <si>
    <t>ない</t>
    <phoneticPr fontId="1"/>
  </si>
  <si>
    <t>遷客 ・遷化(unicode)</t>
    <rPh sb="1" eb="2">
      <t>キャク</t>
    </rPh>
    <rPh sb="4" eb="6">
      <t>センゲ</t>
    </rPh>
    <phoneticPr fontId="1"/>
  </si>
  <si>
    <t>三丢侕</t>
  </si>
  <si>
    <t>のれん</t>
    <phoneticPr fontId="1"/>
  </si>
  <si>
    <t>奥?</t>
    <rPh sb="0" eb="1">
      <t>オク</t>
    </rPh>
    <phoneticPr fontId="1"/>
  </si>
  <si>
    <t>奥にあった</t>
    <rPh sb="0" eb="1">
      <t>オク</t>
    </rPh>
    <phoneticPr fontId="1"/>
  </si>
  <si>
    <t>おぼろ区</t>
    <rPh sb="3" eb="4">
      <t>ク</t>
    </rPh>
    <phoneticPr fontId="1"/>
  </si>
  <si>
    <t>過状？（過失や過ちの記録）</t>
    <rPh sb="0" eb="1">
      <t>カ</t>
    </rPh>
    <rPh sb="1" eb="2">
      <t>ジョウ</t>
    </rPh>
    <phoneticPr fontId="1"/>
  </si>
  <si>
    <t>俚介</t>
    <phoneticPr fontId="1"/>
  </si>
  <si>
    <t>俚介 ・介覗象/王</t>
    <rPh sb="5" eb="6">
      <t>ノゾ</t>
    </rPh>
    <rPh sb="6" eb="7">
      <t>ゾウ</t>
    </rPh>
    <rPh sb="8" eb="9">
      <t>オウ</t>
    </rPh>
    <phoneticPr fontId="1"/>
  </si>
  <si>
    <t>[介]?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</si>
</sst>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Underground"/>
      <family val="3"/>
      <charset val="128"/>
    </font>
    <font>
      <sz val="11"/>
      <color theme="1"/>
      <name val="游ゴシック"/>
      <family val="3"/>
      <charset val="128"/>
      <scheme val="minor"/>
    </font>
    <font>
      <sz val="22"/>
      <color theme="1"/>
      <name val="Underground"/>
      <family val="3"/>
      <charset val="128"/>
    </font>
    <font>
      <sz val="22"/>
      <color theme="1"/>
      <name val="游ゴシック"/>
      <family val="2"/>
      <charset val="128"/>
      <scheme val="minor"/>
    </font>
    <font>
      <sz val="12"/>
      <color theme="1"/>
      <name val="Underground"/>
      <family val="3"/>
      <charset val="128"/>
    </font>
    <font>
      <sz val="12"/>
      <color theme="1"/>
      <name val="游ゴシック"/>
      <family val="2"/>
      <charset val="128"/>
      <scheme val="minor"/>
    </font>
    <font>
      <sz val="14"/>
      <color theme="1"/>
      <name val="Underground"/>
      <family val="3"/>
      <charset val="128"/>
    </font>
    <font>
      <sz val="14"/>
      <color theme="1"/>
      <name val="游ゴシック"/>
      <family val="2"/>
      <charset val="128"/>
      <scheme val="minor"/>
    </font>
    <font>
      <sz val="14"/>
      <color theme="1"/>
      <name val="HGP創英ﾌﾟﾚｾﾞﾝｽEB"/>
      <family val="1"/>
      <charset val="128"/>
    </font>
    <font>
      <sz val="11"/>
      <color theme="1"/>
      <name val="NSimSun"/>
      <family val="3"/>
      <charset val="134"/>
    </font>
    <font>
      <sz val="14"/>
      <color theme="1"/>
      <name val="Underground"/>
      <family val="3"/>
    </font>
    <font>
      <sz val="11"/>
      <color theme="1"/>
      <name val="Underground"/>
      <family val="3"/>
    </font>
    <font>
      <sz val="14"/>
      <color theme="1"/>
      <name val="HGP創英ﾌﾟﾚｾﾞﾝｽEB"/>
      <family val="1"/>
    </font>
    <font>
      <sz val="11"/>
      <color theme="1"/>
      <name val="游ゴシック Light"/>
      <family val="3"/>
      <charset val="128"/>
      <scheme val="major"/>
    </font>
    <font>
      <sz val="11"/>
      <color theme="1"/>
      <name val="游ゴシック Light"/>
      <family val="2"/>
      <charset val="136"/>
      <scheme val="major"/>
    </font>
    <font>
      <sz val="11"/>
      <color rgb="FF333333"/>
      <name val="Underground"/>
      <family val="3"/>
      <charset val="128"/>
    </font>
    <font>
      <sz val="11"/>
      <color rgb="FF000000"/>
      <name val="Underground"/>
      <family val="3"/>
      <charset val="128"/>
    </font>
    <font>
      <sz val="11"/>
      <color rgb="FF666666"/>
      <name val="Underground"/>
      <family val="3"/>
      <charset val="128"/>
    </font>
    <font>
      <sz val="17"/>
      <color rgb="FF333333"/>
      <name val="Underground"/>
      <family val="3"/>
      <charset val="128"/>
    </font>
    <font>
      <b/>
      <sz val="17"/>
      <color rgb="FF333333"/>
      <name val="Underground"/>
      <family val="3"/>
      <charset val="128"/>
    </font>
    <font>
      <sz val="11"/>
      <color rgb="FF333333"/>
      <name val="Underground"/>
      <family val="3"/>
    </font>
    <font>
      <u/>
      <sz val="11"/>
      <color theme="10"/>
      <name val="游ゴシック"/>
      <family val="2"/>
      <charset val="128"/>
      <scheme val="minor"/>
    </font>
    <font>
      <sz val="11"/>
      <color theme="1"/>
      <name val="ＭＳ ゴシック"/>
      <family val="3"/>
      <charset val="128"/>
    </font>
    <font>
      <sz val="11"/>
      <color theme="1"/>
      <name val="Microsoft JhengHei"/>
      <family val="2"/>
      <charset val="136"/>
    </font>
    <font>
      <sz val="11"/>
      <color theme="1"/>
      <name val="游ゴシック"/>
      <family val="2"/>
      <charset val="136"/>
      <scheme val="minor"/>
    </font>
    <font>
      <u/>
      <sz val="11"/>
      <color theme="10"/>
      <name val="Microsoft JhengHei"/>
      <family val="2"/>
      <charset val="136"/>
    </font>
    <font>
      <u/>
      <sz val="11"/>
      <color theme="10"/>
      <name val="游ゴシック"/>
      <family val="2"/>
      <charset val="136"/>
      <scheme val="minor"/>
    </font>
    <font>
      <sz val="11"/>
      <color theme="1"/>
      <name val="ＭＳ Ｐゴシック"/>
      <family val="2"/>
      <charset val="128"/>
    </font>
    <font>
      <u/>
      <sz val="11"/>
      <color theme="10"/>
      <name val="游ゴシック"/>
      <family val="3"/>
      <charset val="128"/>
      <scheme val="minor"/>
    </font>
    <font>
      <sz val="11"/>
      <color theme="1"/>
      <name val="游ゴシック"/>
      <family val="2"/>
      <charset val="128"/>
    </font>
    <font>
      <sz val="11"/>
      <color theme="1"/>
      <name val="Segoe UI Symbol"/>
      <family val="2"/>
    </font>
    <font>
      <b/>
      <sz val="11"/>
      <color theme="1"/>
      <name val="游ゴシック"/>
      <family val="2"/>
      <charset val="128"/>
      <scheme val="minor"/>
    </font>
    <font>
      <b/>
      <sz val="11"/>
      <color theme="1"/>
      <name val="Underground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theme="1"/>
      <name val="ＭＳ 明朝"/>
      <family val="1"/>
      <charset val="128"/>
    </font>
  </fonts>
  <fills count="7">
    <fill>
      <patternFill patternType="none"/>
    </fill>
    <fill>
      <patternFill patternType="gray125"/>
    </fill>
    <fill>
      <patternFill patternType="solid">
        <fgColor rgb="FFC0E6F5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1F0C8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3" fillId="0" borderId="0" applyNumberForma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3" xfId="0" applyFont="1" applyBorder="1">
      <alignment vertical="center"/>
    </xf>
    <xf numFmtId="0" fontId="2" fillId="0" borderId="3" xfId="0" applyFont="1" applyBorder="1">
      <alignment vertical="center"/>
    </xf>
    <xf numFmtId="0" fontId="0" fillId="0" borderId="3" xfId="0" applyBorder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>
      <alignment vertical="center"/>
    </xf>
    <xf numFmtId="0" fontId="10" fillId="2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5" fillId="0" borderId="0" xfId="0" applyFont="1">
      <alignment vertical="center"/>
    </xf>
    <xf numFmtId="0" fontId="17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0" fillId="0" borderId="4" xfId="0" applyBorder="1">
      <alignment vertical="center"/>
    </xf>
    <xf numFmtId="0" fontId="23" fillId="0" borderId="4" xfId="1" applyBorder="1">
      <alignment vertical="center"/>
    </xf>
    <xf numFmtId="0" fontId="0" fillId="0" borderId="5" xfId="0" applyBorder="1">
      <alignment vertical="center"/>
    </xf>
    <xf numFmtId="0" fontId="23" fillId="0" borderId="5" xfId="1" applyBorder="1">
      <alignment vertical="center"/>
    </xf>
    <xf numFmtId="0" fontId="2" fillId="0" borderId="6" xfId="0" applyFont="1" applyBorder="1">
      <alignment vertical="center"/>
    </xf>
    <xf numFmtId="0" fontId="0" fillId="0" borderId="6" xfId="0" applyBorder="1">
      <alignment vertical="center"/>
    </xf>
    <xf numFmtId="0" fontId="24" fillId="0" borderId="0" xfId="0" applyFont="1">
      <alignment vertical="center"/>
    </xf>
    <xf numFmtId="0" fontId="17" fillId="0" borderId="6" xfId="0" applyFont="1" applyBorder="1" applyAlignment="1">
      <alignment vertical="center" wrapText="1"/>
    </xf>
    <xf numFmtId="0" fontId="2" fillId="6" borderId="6" xfId="0" applyFont="1" applyFill="1" applyBorder="1">
      <alignment vertical="center"/>
    </xf>
    <xf numFmtId="0" fontId="0" fillId="6" borderId="6" xfId="0" applyFill="1" applyBorder="1">
      <alignment vertical="center"/>
    </xf>
    <xf numFmtId="0" fontId="26" fillId="0" borderId="5" xfId="0" applyFont="1" applyBorder="1">
      <alignment vertical="center"/>
    </xf>
    <xf numFmtId="0" fontId="28" fillId="0" borderId="5" xfId="1" applyFont="1" applyBorder="1">
      <alignment vertical="center"/>
    </xf>
    <xf numFmtId="0" fontId="25" fillId="0" borderId="5" xfId="0" applyFont="1" applyBorder="1">
      <alignment vertical="center"/>
    </xf>
    <xf numFmtId="0" fontId="13" fillId="0" borderId="6" xfId="0" applyFont="1" applyBorder="1">
      <alignment vertical="center"/>
    </xf>
    <xf numFmtId="0" fontId="33" fillId="0" borderId="6" xfId="0" applyFont="1" applyBorder="1">
      <alignment vertical="center"/>
    </xf>
    <xf numFmtId="0" fontId="35" fillId="0" borderId="4" xfId="0" applyFont="1" applyBorder="1">
      <alignment vertical="center"/>
    </xf>
    <xf numFmtId="0" fontId="35" fillId="0" borderId="5" xfId="0" applyFont="1" applyBorder="1">
      <alignment vertical="center"/>
    </xf>
    <xf numFmtId="0" fontId="35" fillId="0" borderId="0" xfId="0" applyFont="1">
      <alignment vertical="center"/>
    </xf>
    <xf numFmtId="0" fontId="33" fillId="0" borderId="0" xfId="0" applyFont="1">
      <alignment vertical="center"/>
    </xf>
    <xf numFmtId="0" fontId="34" fillId="0" borderId="0" xfId="0" applyFont="1">
      <alignment vertical="center"/>
    </xf>
    <xf numFmtId="0" fontId="33" fillId="0" borderId="5" xfId="0" applyFont="1" applyBorder="1">
      <alignment vertical="center"/>
    </xf>
    <xf numFmtId="0" fontId="33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36" fillId="0" borderId="6" xfId="0" applyFont="1" applyBorder="1">
      <alignment vertical="center"/>
    </xf>
    <xf numFmtId="0" fontId="26" fillId="0" borderId="0" xfId="0" applyFont="1">
      <alignment vertical="center"/>
    </xf>
  </cellXfs>
  <cellStyles count="2">
    <cellStyle name="ハイパーリンク" xfId="1" builtinId="8"/>
    <cellStyle name="標準" xfId="0" builtinId="0"/>
  </cellStyles>
  <dxfs count="9">
    <dxf>
      <font>
        <color theme="1"/>
      </font>
      <fill>
        <patternFill patternType="solid">
          <bgColor rgb="FFC1F0C8"/>
        </patternFill>
      </fill>
    </dxf>
    <dxf>
      <font>
        <color theme="1"/>
      </font>
      <fill>
        <patternFill patternType="solid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FF0000"/>
      </font>
    </dxf>
  </dxfs>
  <tableStyles count="0" defaultTableStyle="TableStyleMedium2" defaultPivotStyle="PivotStyleLight16"/>
  <colors>
    <mruColors>
      <color rgb="FFFBE2D5"/>
      <color rgb="FFC1F0C8"/>
      <color rgb="FFC0E6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qtes9gu0k.xyz/mybdp843/" TargetMode="External"/><Relationship Id="rId21" Type="http://schemas.openxmlformats.org/officeDocument/2006/relationships/hyperlink" Target="https://www.qtes9gu0k.xyz/qgur/untuuue/" TargetMode="External"/><Relationship Id="rId42" Type="http://schemas.openxmlformats.org/officeDocument/2006/relationships/hyperlink" Target="https://www.qtes9gu0k.xyz/ycqs/ybsdaff/" TargetMode="External"/><Relationship Id="rId63" Type="http://schemas.openxmlformats.org/officeDocument/2006/relationships/hyperlink" Target="https://www.qtes9gu0k.xyz/qgur/anxdiobae8o/" TargetMode="External"/><Relationship Id="rId84" Type="http://schemas.openxmlformats.org/officeDocument/2006/relationships/hyperlink" Target="https://www.qtes9gu0k.xyz/qgur/pw2453fd/" TargetMode="External"/><Relationship Id="rId16" Type="http://schemas.openxmlformats.org/officeDocument/2006/relationships/hyperlink" Target="https://www.qtes9gu0k.xyz/qgur/ab8el8q/" TargetMode="External"/><Relationship Id="rId107" Type="http://schemas.openxmlformats.org/officeDocument/2006/relationships/hyperlink" Target="https://www.qtes9gu0k.xyz/qgur/b7940apaf/" TargetMode="External"/><Relationship Id="rId11" Type="http://schemas.openxmlformats.org/officeDocument/2006/relationships/hyperlink" Target="https://www.qtes9gu0k.xyz/efm5n/" TargetMode="External"/><Relationship Id="rId32" Type="http://schemas.openxmlformats.org/officeDocument/2006/relationships/hyperlink" Target="https://www.qtes9gu0k.xyz/efm5n/e2m0bhl/" TargetMode="External"/><Relationship Id="rId37" Type="http://schemas.openxmlformats.org/officeDocument/2006/relationships/hyperlink" Target="https://www.qtes9gu0k.xyz/efm5n/e2m0bhl/" TargetMode="External"/><Relationship Id="rId53" Type="http://schemas.openxmlformats.org/officeDocument/2006/relationships/hyperlink" Target="https://www.qtes9gu0k.xyz/b37l821/" TargetMode="External"/><Relationship Id="rId58" Type="http://schemas.openxmlformats.org/officeDocument/2006/relationships/hyperlink" Target="https://www.qtes9gu0k.xyz/ycqs/byoaaaf/" TargetMode="External"/><Relationship Id="rId74" Type="http://schemas.openxmlformats.org/officeDocument/2006/relationships/hyperlink" Target="https://www.qtes9gu0k.xyz/" TargetMode="External"/><Relationship Id="rId79" Type="http://schemas.openxmlformats.org/officeDocument/2006/relationships/hyperlink" Target="https://www.qtes9gu0k.xyz/qgur/7yegxf8/" TargetMode="External"/><Relationship Id="rId102" Type="http://schemas.openxmlformats.org/officeDocument/2006/relationships/hyperlink" Target="https://www.qtes9gu0k.xyz/gh73u44/" TargetMode="External"/><Relationship Id="rId123" Type="http://schemas.openxmlformats.org/officeDocument/2006/relationships/hyperlink" Target="https://www.qtes9gu0k.xyz/qgur/8isbtbz/" TargetMode="External"/><Relationship Id="rId128" Type="http://schemas.openxmlformats.org/officeDocument/2006/relationships/hyperlink" Target="https://www.qtes9gu0k.xyz/beware/" TargetMode="External"/><Relationship Id="rId5" Type="http://schemas.openxmlformats.org/officeDocument/2006/relationships/hyperlink" Target="https://www.qtes9gu0k.xyz/qgur/8isbtbz/" TargetMode="External"/><Relationship Id="rId90" Type="http://schemas.openxmlformats.org/officeDocument/2006/relationships/hyperlink" Target="https://www.qtes9gu0k.xyz/qgur/izwfttm/" TargetMode="External"/><Relationship Id="rId95" Type="http://schemas.openxmlformats.org/officeDocument/2006/relationships/hyperlink" Target="https://www.qtes9gu0k.xyz/p8we8a23/" TargetMode="External"/><Relationship Id="rId22" Type="http://schemas.openxmlformats.org/officeDocument/2006/relationships/hyperlink" Target="https://www.qtes9gu0k.xyz/qgur/94jgyis/" TargetMode="External"/><Relationship Id="rId27" Type="http://schemas.openxmlformats.org/officeDocument/2006/relationships/hyperlink" Target="https://www.qtes9gu0k.xyz/zm389qx/" TargetMode="External"/><Relationship Id="rId43" Type="http://schemas.openxmlformats.org/officeDocument/2006/relationships/hyperlink" Target="https://www.qtes9gu0k.xyz/ycqs/ybsdaff/" TargetMode="External"/><Relationship Id="rId48" Type="http://schemas.openxmlformats.org/officeDocument/2006/relationships/hyperlink" Target="https://www.qtes9gu0k.xyz/hu9p8w3/" TargetMode="External"/><Relationship Id="rId64" Type="http://schemas.openxmlformats.org/officeDocument/2006/relationships/hyperlink" Target="https://www.qtes9gu0k.xyz/ycqs/byuialdf/" TargetMode="External"/><Relationship Id="rId69" Type="http://schemas.openxmlformats.org/officeDocument/2006/relationships/hyperlink" Target="https://www.qtes9gu0k.xyz/qgur/6rjs9w7/" TargetMode="External"/><Relationship Id="rId113" Type="http://schemas.openxmlformats.org/officeDocument/2006/relationships/hyperlink" Target="https://www.qtes9gu0k.xyz/pqnxzgyt7/" TargetMode="External"/><Relationship Id="rId118" Type="http://schemas.openxmlformats.org/officeDocument/2006/relationships/hyperlink" Target="https://www.qtes9gu0k.xyz/783bq9earw/" TargetMode="External"/><Relationship Id="rId134" Type="http://schemas.openxmlformats.org/officeDocument/2006/relationships/hyperlink" Target="https://www.qtes9gu0k.xyz/63v728aq/" TargetMode="External"/><Relationship Id="rId80" Type="http://schemas.openxmlformats.org/officeDocument/2006/relationships/hyperlink" Target="https://www.qtes9gu0k.xyz/hu9p8w3/" TargetMode="External"/><Relationship Id="rId85" Type="http://schemas.openxmlformats.org/officeDocument/2006/relationships/hyperlink" Target="https://www.qtes9gu0k.xyz/efm5n/" TargetMode="External"/><Relationship Id="rId12" Type="http://schemas.openxmlformats.org/officeDocument/2006/relationships/hyperlink" Target="https://www.qtes9gu0k.xyz/efm5n/e2m0bhl/" TargetMode="External"/><Relationship Id="rId17" Type="http://schemas.openxmlformats.org/officeDocument/2006/relationships/hyperlink" Target="https://www.qtes9gu0k.xyz/qgur/c56kp9i/" TargetMode="External"/><Relationship Id="rId33" Type="http://schemas.openxmlformats.org/officeDocument/2006/relationships/hyperlink" Target="https://www.qtes9gu0k.xyz/efm5n/e2m0bhl/" TargetMode="External"/><Relationship Id="rId38" Type="http://schemas.openxmlformats.org/officeDocument/2006/relationships/hyperlink" Target="https://www.qtes9gu0k.xyz/efm5n/e2m0bhl/" TargetMode="External"/><Relationship Id="rId59" Type="http://schemas.openxmlformats.org/officeDocument/2006/relationships/hyperlink" Target="https://www.qtes9gu0k.xyz/ycqs/byoaaaf/" TargetMode="External"/><Relationship Id="rId103" Type="http://schemas.openxmlformats.org/officeDocument/2006/relationships/hyperlink" Target="https://www.qtes9gu0k.xyz/gh73u44/" TargetMode="External"/><Relationship Id="rId108" Type="http://schemas.openxmlformats.org/officeDocument/2006/relationships/hyperlink" Target="https://www.qtes9gu0k.xyz/qgur/b7940apaf/" TargetMode="External"/><Relationship Id="rId124" Type="http://schemas.openxmlformats.org/officeDocument/2006/relationships/hyperlink" Target="https://www.qtes9gu0k.xyz/qgur/8isbtbz/" TargetMode="External"/><Relationship Id="rId129" Type="http://schemas.openxmlformats.org/officeDocument/2006/relationships/hyperlink" Target="https://www.qtes9gu0k.xyz/beware/" TargetMode="External"/><Relationship Id="rId54" Type="http://schemas.openxmlformats.org/officeDocument/2006/relationships/hyperlink" Target="https://www.qtes9gu0k.xyz/qgur/ceg3ibx/" TargetMode="External"/><Relationship Id="rId70" Type="http://schemas.openxmlformats.org/officeDocument/2006/relationships/hyperlink" Target="https://www.qtes9gu0k.xyz/" TargetMode="External"/><Relationship Id="rId75" Type="http://schemas.openxmlformats.org/officeDocument/2006/relationships/hyperlink" Target="https://www.qtes9gu0k.xyz/" TargetMode="External"/><Relationship Id="rId91" Type="http://schemas.openxmlformats.org/officeDocument/2006/relationships/hyperlink" Target="https://www.qtes9gu0k.xyz/qgur/izwfttm/" TargetMode="External"/><Relationship Id="rId96" Type="http://schemas.openxmlformats.org/officeDocument/2006/relationships/hyperlink" Target="https://www.qtes9gu0k.xyz/gh73u44/" TargetMode="External"/><Relationship Id="rId1" Type="http://schemas.openxmlformats.org/officeDocument/2006/relationships/hyperlink" Target="https://www.qtes9gu0k.xyz/qgur/84zfyts/" TargetMode="External"/><Relationship Id="rId6" Type="http://schemas.openxmlformats.org/officeDocument/2006/relationships/hyperlink" Target="https://www.qtes9gu0k.xyz/qgur/42ahz55/" TargetMode="External"/><Relationship Id="rId23" Type="http://schemas.openxmlformats.org/officeDocument/2006/relationships/hyperlink" Target="https://www.qtes9gu0k.xyz/ycqs/byuialdf/" TargetMode="External"/><Relationship Id="rId28" Type="http://schemas.openxmlformats.org/officeDocument/2006/relationships/hyperlink" Target="https://www.qtes9gu0k.xyz/b37l821/" TargetMode="External"/><Relationship Id="rId49" Type="http://schemas.openxmlformats.org/officeDocument/2006/relationships/hyperlink" Target="https://www.qtes9gu0k.xyz/qgur/tcpijki/" TargetMode="External"/><Relationship Id="rId114" Type="http://schemas.openxmlformats.org/officeDocument/2006/relationships/hyperlink" Target="https://www.qtes9gu0k.xyz/pqnxzgyt7/" TargetMode="External"/><Relationship Id="rId119" Type="http://schemas.openxmlformats.org/officeDocument/2006/relationships/hyperlink" Target="https://www.qtes9gu0k.xyz/783bq9earw/" TargetMode="External"/><Relationship Id="rId44" Type="http://schemas.openxmlformats.org/officeDocument/2006/relationships/hyperlink" Target="https://www.qtes9gu0k.xyz/ycqs/ybsdaff/" TargetMode="External"/><Relationship Id="rId60" Type="http://schemas.openxmlformats.org/officeDocument/2006/relationships/hyperlink" Target="https://www.qtes9gu0k.xyz/ycqs/byoaaaf/" TargetMode="External"/><Relationship Id="rId65" Type="http://schemas.openxmlformats.org/officeDocument/2006/relationships/hyperlink" Target="https://www.qtes9gu0k.xyz/qgur/ejbwbyc/" TargetMode="External"/><Relationship Id="rId81" Type="http://schemas.openxmlformats.org/officeDocument/2006/relationships/hyperlink" Target="https://www.qtes9gu0k.xyz/ycqs/byoaaaf/" TargetMode="External"/><Relationship Id="rId86" Type="http://schemas.openxmlformats.org/officeDocument/2006/relationships/hyperlink" Target="https://www.qtes9gu0k.xyz/efm5n/" TargetMode="External"/><Relationship Id="rId130" Type="http://schemas.openxmlformats.org/officeDocument/2006/relationships/hyperlink" Target="https://www.qtes9gu0k.xyz/63v728aq/" TargetMode="External"/><Relationship Id="rId135" Type="http://schemas.openxmlformats.org/officeDocument/2006/relationships/printerSettings" Target="../printerSettings/printerSettings1.bin"/><Relationship Id="rId13" Type="http://schemas.openxmlformats.org/officeDocument/2006/relationships/hyperlink" Target="https://www.qtes9gu0k.xyz/qgur/anxdiobae8o/" TargetMode="External"/><Relationship Id="rId18" Type="http://schemas.openxmlformats.org/officeDocument/2006/relationships/hyperlink" Target="https://www.qtes9gu0k.xyz/qgur/6rjs9w7/" TargetMode="External"/><Relationship Id="rId39" Type="http://schemas.openxmlformats.org/officeDocument/2006/relationships/hyperlink" Target="https://www.qtes9gu0k.xyz/efm5n/e2m0bhl/" TargetMode="External"/><Relationship Id="rId109" Type="http://schemas.openxmlformats.org/officeDocument/2006/relationships/hyperlink" Target="https://www.qtes9gu0k.xyz/fasjf213/" TargetMode="External"/><Relationship Id="rId34" Type="http://schemas.openxmlformats.org/officeDocument/2006/relationships/hyperlink" Target="https://www.qtes9gu0k.xyz/efm5n/e2m0bhl/" TargetMode="External"/><Relationship Id="rId50" Type="http://schemas.openxmlformats.org/officeDocument/2006/relationships/hyperlink" Target="https://www.qtes9gu0k.xyz/b37l821/" TargetMode="External"/><Relationship Id="rId55" Type="http://schemas.openxmlformats.org/officeDocument/2006/relationships/hyperlink" Target="https://www.qtes9gu0k.xyz/qgur/x94hggb/" TargetMode="External"/><Relationship Id="rId76" Type="http://schemas.openxmlformats.org/officeDocument/2006/relationships/hyperlink" Target="https://www.qtes9gu0k.xyz/" TargetMode="External"/><Relationship Id="rId97" Type="http://schemas.openxmlformats.org/officeDocument/2006/relationships/hyperlink" Target="https://www.qtes9gu0k.xyz/gh73u44/" TargetMode="External"/><Relationship Id="rId104" Type="http://schemas.openxmlformats.org/officeDocument/2006/relationships/hyperlink" Target="https://www.qtes9gu0k.xyz/qgur/8wbv79/" TargetMode="External"/><Relationship Id="rId120" Type="http://schemas.openxmlformats.org/officeDocument/2006/relationships/hyperlink" Target="https://www.qtes9gu0k.xyz/4bv39aq/" TargetMode="External"/><Relationship Id="rId125" Type="http://schemas.openxmlformats.org/officeDocument/2006/relationships/hyperlink" Target="https://www.qtes9gu0k.xyz/783bq9earw/" TargetMode="External"/><Relationship Id="rId7" Type="http://schemas.openxmlformats.org/officeDocument/2006/relationships/hyperlink" Target="https://www.qtes9gu0k.xyz/qgur/8492tqha/" TargetMode="External"/><Relationship Id="rId71" Type="http://schemas.openxmlformats.org/officeDocument/2006/relationships/hyperlink" Target="https://www.qtes9gu0k.xyz/" TargetMode="External"/><Relationship Id="rId92" Type="http://schemas.openxmlformats.org/officeDocument/2006/relationships/hyperlink" Target="https://www.qtes9gu0k.xyz/qgur/izwfttm/" TargetMode="External"/><Relationship Id="rId2" Type="http://schemas.openxmlformats.org/officeDocument/2006/relationships/hyperlink" Target="https://www.qtes9gu0k.xyz/qgur/ei282yf/" TargetMode="External"/><Relationship Id="rId29" Type="http://schemas.openxmlformats.org/officeDocument/2006/relationships/hyperlink" Target="https://www.qtes9gu0k.xyz/9b87wr79243/" TargetMode="External"/><Relationship Id="rId24" Type="http://schemas.openxmlformats.org/officeDocument/2006/relationships/hyperlink" Target="https://www.qtes9gu0k.xyz/qgur/b4k9gwx/" TargetMode="External"/><Relationship Id="rId40" Type="http://schemas.openxmlformats.org/officeDocument/2006/relationships/hyperlink" Target="https://www.qtes9gu0k.xyz/efm5n/e2m0bhl/" TargetMode="External"/><Relationship Id="rId45" Type="http://schemas.openxmlformats.org/officeDocument/2006/relationships/hyperlink" Target="https://www.qtes9gu0k.xyz/ycqs/ybsdaff/" TargetMode="External"/><Relationship Id="rId66" Type="http://schemas.openxmlformats.org/officeDocument/2006/relationships/hyperlink" Target="https://www.qtes9gu0k.xyz/qgur/ejbwbyc/" TargetMode="External"/><Relationship Id="rId87" Type="http://schemas.openxmlformats.org/officeDocument/2006/relationships/hyperlink" Target="https://www.qtes9gu0k.xyz/efm5n/" TargetMode="External"/><Relationship Id="rId110" Type="http://schemas.openxmlformats.org/officeDocument/2006/relationships/hyperlink" Target="https://www.qtes9gu0k.xyz/fasjf213/" TargetMode="External"/><Relationship Id="rId115" Type="http://schemas.openxmlformats.org/officeDocument/2006/relationships/hyperlink" Target="https://www.qtes9gu0k.xyz/8bvr9sw89/" TargetMode="External"/><Relationship Id="rId131" Type="http://schemas.openxmlformats.org/officeDocument/2006/relationships/hyperlink" Target="https://www.qtes9gu0k.xyz/beware/" TargetMode="External"/><Relationship Id="rId61" Type="http://schemas.openxmlformats.org/officeDocument/2006/relationships/hyperlink" Target="https://www.qtes9gu0k.xyz/efm5n/" TargetMode="External"/><Relationship Id="rId82" Type="http://schemas.openxmlformats.org/officeDocument/2006/relationships/hyperlink" Target="https://www.qtes9gu0k.xyz/ycqs/byoaaaf/" TargetMode="External"/><Relationship Id="rId19" Type="http://schemas.openxmlformats.org/officeDocument/2006/relationships/hyperlink" Target="https://www.qtes9gu0k.xyz/qgur/tcpijki/" TargetMode="External"/><Relationship Id="rId14" Type="http://schemas.openxmlformats.org/officeDocument/2006/relationships/hyperlink" Target="https://www.qtes9gu0k.xyz/qgur/ceg3ibx/" TargetMode="External"/><Relationship Id="rId30" Type="http://schemas.openxmlformats.org/officeDocument/2006/relationships/hyperlink" Target="https://www.qtes9gu0k.xyz/hu9p8w3/" TargetMode="External"/><Relationship Id="rId35" Type="http://schemas.openxmlformats.org/officeDocument/2006/relationships/hyperlink" Target="https://www.qtes9gu0k.xyz/efm5n/e2m0bhl/" TargetMode="External"/><Relationship Id="rId56" Type="http://schemas.openxmlformats.org/officeDocument/2006/relationships/hyperlink" Target="https://www.qtes9gu0k.xyz/qgur/k5fxams/" TargetMode="External"/><Relationship Id="rId77" Type="http://schemas.openxmlformats.org/officeDocument/2006/relationships/hyperlink" Target="https://www.qtes9gu0k.xyz/" TargetMode="External"/><Relationship Id="rId100" Type="http://schemas.openxmlformats.org/officeDocument/2006/relationships/hyperlink" Target="https://www.qtes9gu0k.xyz/gh73u44/" TargetMode="External"/><Relationship Id="rId105" Type="http://schemas.openxmlformats.org/officeDocument/2006/relationships/hyperlink" Target="https://www.qtes9gu0k.xyz/qgur/vbzlec8w/" TargetMode="External"/><Relationship Id="rId126" Type="http://schemas.openxmlformats.org/officeDocument/2006/relationships/hyperlink" Target="https://www.qtes9gu0k.xyz/wbloovwvw/" TargetMode="External"/><Relationship Id="rId8" Type="http://schemas.openxmlformats.org/officeDocument/2006/relationships/hyperlink" Target="https://www.qtes9gu0k.xyz/" TargetMode="External"/><Relationship Id="rId51" Type="http://schemas.openxmlformats.org/officeDocument/2006/relationships/hyperlink" Target="https://www.qtes9gu0k.xyz/b37l821/" TargetMode="External"/><Relationship Id="rId72" Type="http://schemas.openxmlformats.org/officeDocument/2006/relationships/hyperlink" Target="https://www.qtes9gu0k.xyz/" TargetMode="External"/><Relationship Id="rId93" Type="http://schemas.openxmlformats.org/officeDocument/2006/relationships/hyperlink" Target="https://www.qtes9gu0k.xyz/p8we8a23/" TargetMode="External"/><Relationship Id="rId98" Type="http://schemas.openxmlformats.org/officeDocument/2006/relationships/hyperlink" Target="https://www.qtes9gu0k.xyz/gh73u44/" TargetMode="External"/><Relationship Id="rId121" Type="http://schemas.openxmlformats.org/officeDocument/2006/relationships/hyperlink" Target="https://www.qtes9gu0k.xyz/4bv39aq/" TargetMode="External"/><Relationship Id="rId3" Type="http://schemas.openxmlformats.org/officeDocument/2006/relationships/hyperlink" Target="https://www.qtes9gu0k.xyz/qgur/392a4xs/" TargetMode="External"/><Relationship Id="rId25" Type="http://schemas.openxmlformats.org/officeDocument/2006/relationships/hyperlink" Target="https://www.qtes9gu0k.xyz/qgur/x94hggb/" TargetMode="External"/><Relationship Id="rId46" Type="http://schemas.openxmlformats.org/officeDocument/2006/relationships/hyperlink" Target="https://www.qtes9gu0k.xyz/hu9p8w3/" TargetMode="External"/><Relationship Id="rId67" Type="http://schemas.openxmlformats.org/officeDocument/2006/relationships/hyperlink" Target="https://www.qtes9gu0k.xyz/qgur/untuuue/" TargetMode="External"/><Relationship Id="rId116" Type="http://schemas.openxmlformats.org/officeDocument/2006/relationships/hyperlink" Target="https://www.qtes9gu0k.xyz/4bv39aq/" TargetMode="External"/><Relationship Id="rId20" Type="http://schemas.openxmlformats.org/officeDocument/2006/relationships/hyperlink" Target="https://www.qtes9gu0k.xyz/qgur/7yegxf8/" TargetMode="External"/><Relationship Id="rId41" Type="http://schemas.openxmlformats.org/officeDocument/2006/relationships/hyperlink" Target="https://www.qtes9gu0k.xyz/qgur/c56kp9i/" TargetMode="External"/><Relationship Id="rId62" Type="http://schemas.openxmlformats.org/officeDocument/2006/relationships/hyperlink" Target="https://www.qtes9gu0k.xyz/efm5n/" TargetMode="External"/><Relationship Id="rId83" Type="http://schemas.openxmlformats.org/officeDocument/2006/relationships/hyperlink" Target="https://www.qtes9gu0k.xyz/ycqs/byoaaaf/" TargetMode="External"/><Relationship Id="rId88" Type="http://schemas.openxmlformats.org/officeDocument/2006/relationships/hyperlink" Target="https://www.qtes9gu0k.xyz/efm5n/e2m0bhl/" TargetMode="External"/><Relationship Id="rId111" Type="http://schemas.openxmlformats.org/officeDocument/2006/relationships/hyperlink" Target="https://www.qtes9gu0k.xyz/pqnxzgyt7/" TargetMode="External"/><Relationship Id="rId132" Type="http://schemas.openxmlformats.org/officeDocument/2006/relationships/hyperlink" Target="https://www.qtes9gu0k.xyz/beware/" TargetMode="External"/><Relationship Id="rId15" Type="http://schemas.openxmlformats.org/officeDocument/2006/relationships/hyperlink" Target="https://www.qtes9gu0k.xyz/qgur/hmfe73a/" TargetMode="External"/><Relationship Id="rId36" Type="http://schemas.openxmlformats.org/officeDocument/2006/relationships/hyperlink" Target="https://www.qtes9gu0k.xyz/efm5n/e2m0bhl/" TargetMode="External"/><Relationship Id="rId57" Type="http://schemas.openxmlformats.org/officeDocument/2006/relationships/hyperlink" Target="https://www.qtes9gu0k.xyz/ycqs/byoaaaf/" TargetMode="External"/><Relationship Id="rId106" Type="http://schemas.openxmlformats.org/officeDocument/2006/relationships/hyperlink" Target="https://www.qtes9gu0k.xyz/qgur/vbzlec8w/" TargetMode="External"/><Relationship Id="rId127" Type="http://schemas.openxmlformats.org/officeDocument/2006/relationships/hyperlink" Target="https://www.qtes9gu0k.xyz/beware/" TargetMode="External"/><Relationship Id="rId10" Type="http://schemas.openxmlformats.org/officeDocument/2006/relationships/hyperlink" Target="https://www.qtes9gu0k.xyz/ycqs/ybsdaff/" TargetMode="External"/><Relationship Id="rId31" Type="http://schemas.openxmlformats.org/officeDocument/2006/relationships/hyperlink" Target="https://www.qtes9gu0k.xyz/efm5n/e2m0bhl/" TargetMode="External"/><Relationship Id="rId52" Type="http://schemas.openxmlformats.org/officeDocument/2006/relationships/hyperlink" Target="https://www.qtes9gu0k.xyz/b37l821/" TargetMode="External"/><Relationship Id="rId73" Type="http://schemas.openxmlformats.org/officeDocument/2006/relationships/hyperlink" Target="https://www.qtes9gu0k.xyz/" TargetMode="External"/><Relationship Id="rId78" Type="http://schemas.openxmlformats.org/officeDocument/2006/relationships/hyperlink" Target="https://www.qtes9gu0k.xyz/ycqs/byuialdf/" TargetMode="External"/><Relationship Id="rId94" Type="http://schemas.openxmlformats.org/officeDocument/2006/relationships/hyperlink" Target="https://www.qtes9gu0k.xyz/p8we8a23/" TargetMode="External"/><Relationship Id="rId99" Type="http://schemas.openxmlformats.org/officeDocument/2006/relationships/hyperlink" Target="https://www.qtes9gu0k.xyz/gh73u44/" TargetMode="External"/><Relationship Id="rId101" Type="http://schemas.openxmlformats.org/officeDocument/2006/relationships/hyperlink" Target="https://www.qtes9gu0k.xyz/gh73u44/" TargetMode="External"/><Relationship Id="rId122" Type="http://schemas.openxmlformats.org/officeDocument/2006/relationships/hyperlink" Target="https://www.qtes9gu0k.xyz/4bv39aq/" TargetMode="External"/><Relationship Id="rId4" Type="http://schemas.openxmlformats.org/officeDocument/2006/relationships/hyperlink" Target="https://www.qtes9gu0k.xyz/qgur/izwfttm/" TargetMode="External"/><Relationship Id="rId9" Type="http://schemas.openxmlformats.org/officeDocument/2006/relationships/hyperlink" Target="https://www.qtes9gu0k.xyz/ycqs/byiudsfyu/" TargetMode="External"/><Relationship Id="rId26" Type="http://schemas.openxmlformats.org/officeDocument/2006/relationships/hyperlink" Target="https://www.qtes9gu0k.xyz/fasjf213/" TargetMode="External"/><Relationship Id="rId47" Type="http://schemas.openxmlformats.org/officeDocument/2006/relationships/hyperlink" Target="https://www.qtes9gu0k.xyz/hu9p8w3/" TargetMode="External"/><Relationship Id="rId68" Type="http://schemas.openxmlformats.org/officeDocument/2006/relationships/hyperlink" Target="https://www.qtes9gu0k.xyz/qgur/94jgyis/" TargetMode="External"/><Relationship Id="rId89" Type="http://schemas.openxmlformats.org/officeDocument/2006/relationships/hyperlink" Target="https://www.qtes9gu0k.xyz/efm5n/e2m0bhl/" TargetMode="External"/><Relationship Id="rId112" Type="http://schemas.openxmlformats.org/officeDocument/2006/relationships/hyperlink" Target="https://www.qtes9gu0k.xyz/pqnxzgyt7/" TargetMode="External"/><Relationship Id="rId133" Type="http://schemas.openxmlformats.org/officeDocument/2006/relationships/hyperlink" Target="https://www.qtes9gu0k.xyz/beware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qtes9gu0k.xyz/67eltuwb/" TargetMode="External"/><Relationship Id="rId21" Type="http://schemas.openxmlformats.org/officeDocument/2006/relationships/hyperlink" Target="https://www.qtes9gu0k.xyz/ycqs/byuialdf/" TargetMode="External"/><Relationship Id="rId42" Type="http://schemas.openxmlformats.org/officeDocument/2006/relationships/hyperlink" Target="https://www.qtes9gu0k.xyz/qgur/72769a6/" TargetMode="External"/><Relationship Id="rId63" Type="http://schemas.openxmlformats.org/officeDocument/2006/relationships/hyperlink" Target="https://www.qtes9gu0k.xyz/qgur/bnepew4/" TargetMode="External"/><Relationship Id="rId84" Type="http://schemas.openxmlformats.org/officeDocument/2006/relationships/hyperlink" Target="https://www.qtes9gu0k.xyz/qgur/ab8el8q/" TargetMode="External"/><Relationship Id="rId138" Type="http://schemas.openxmlformats.org/officeDocument/2006/relationships/hyperlink" Target="https://www.qtes9gu0k.xyz/8bvr9sw89/" TargetMode="External"/><Relationship Id="rId107" Type="http://schemas.openxmlformats.org/officeDocument/2006/relationships/hyperlink" Target="https://www.qtes9gu0k.xyz/qgur/uka7gdx/" TargetMode="External"/><Relationship Id="rId11" Type="http://schemas.openxmlformats.org/officeDocument/2006/relationships/hyperlink" Target="https://www.qtes9gu0k.xyz/ycqs/ybsdaff/" TargetMode="External"/><Relationship Id="rId32" Type="http://schemas.openxmlformats.org/officeDocument/2006/relationships/hyperlink" Target="https://www.qtes9gu0k.xyz/efm5n/" TargetMode="External"/><Relationship Id="rId53" Type="http://schemas.openxmlformats.org/officeDocument/2006/relationships/hyperlink" Target="https://www.qtes9gu0k.xyz/qgur/ei282yf/" TargetMode="External"/><Relationship Id="rId74" Type="http://schemas.openxmlformats.org/officeDocument/2006/relationships/hyperlink" Target="https://www.qtes9gu0k.xyz/qgur/63jwb7p/" TargetMode="External"/><Relationship Id="rId128" Type="http://schemas.openxmlformats.org/officeDocument/2006/relationships/hyperlink" Target="https://www.qtes9gu0k.xyz/hu9p8w3/" TargetMode="External"/><Relationship Id="rId149" Type="http://schemas.openxmlformats.org/officeDocument/2006/relationships/hyperlink" Target="https://www.qtes9gu0k.xyz/mybdp843/" TargetMode="External"/><Relationship Id="rId5" Type="http://schemas.openxmlformats.org/officeDocument/2006/relationships/hyperlink" Target="https://www.qtes9gu0k.xyz/ycqs/byiudsfyu/" TargetMode="External"/><Relationship Id="rId95" Type="http://schemas.openxmlformats.org/officeDocument/2006/relationships/hyperlink" Target="https://www.qtes9gu0k.xyz/qgur/k5fxams/" TargetMode="External"/><Relationship Id="rId22" Type="http://schemas.openxmlformats.org/officeDocument/2006/relationships/hyperlink" Target="https://www.qtes9gu0k.xyz/ycqs/byuialdf/" TargetMode="External"/><Relationship Id="rId43" Type="http://schemas.openxmlformats.org/officeDocument/2006/relationships/hyperlink" Target="https://www.qtes9gu0k.xyz/qgur/buaubewg32/" TargetMode="External"/><Relationship Id="rId64" Type="http://schemas.openxmlformats.org/officeDocument/2006/relationships/hyperlink" Target="https://www.qtes9gu0k.xyz/qgur/bnepew4/" TargetMode="External"/><Relationship Id="rId118" Type="http://schemas.openxmlformats.org/officeDocument/2006/relationships/hyperlink" Target="https://www.qtes9gu0k.xyz/67eltuwb/" TargetMode="External"/><Relationship Id="rId139" Type="http://schemas.openxmlformats.org/officeDocument/2006/relationships/hyperlink" Target="https://www.qtes9gu0k.xyz/8bvr9sw89/" TargetMode="External"/><Relationship Id="rId80" Type="http://schemas.openxmlformats.org/officeDocument/2006/relationships/hyperlink" Target="https://www.qtes9gu0k.xyz/qgur/hmfe73a/" TargetMode="External"/><Relationship Id="rId85" Type="http://schemas.openxmlformats.org/officeDocument/2006/relationships/hyperlink" Target="https://www.qtes9gu0k.xyz/qgur/ab8el8q/" TargetMode="External"/><Relationship Id="rId150" Type="http://schemas.openxmlformats.org/officeDocument/2006/relationships/hyperlink" Target="https://www.qtes9gu0k.xyz/783bq9earw/" TargetMode="External"/><Relationship Id="rId155" Type="http://schemas.openxmlformats.org/officeDocument/2006/relationships/hyperlink" Target="https://www.qtes9gu0k.xyz/qgur/392a4xs/" TargetMode="External"/><Relationship Id="rId12" Type="http://schemas.openxmlformats.org/officeDocument/2006/relationships/hyperlink" Target="https://www.qtes9gu0k.xyz/ycqs/ybsdaff/" TargetMode="External"/><Relationship Id="rId17" Type="http://schemas.openxmlformats.org/officeDocument/2006/relationships/hyperlink" Target="https://www.qtes9gu0k.xyz/ycqs/byuialdf/" TargetMode="External"/><Relationship Id="rId33" Type="http://schemas.openxmlformats.org/officeDocument/2006/relationships/hyperlink" Target="https://www.qtes9gu0k.xyz/efm5n/" TargetMode="External"/><Relationship Id="rId38" Type="http://schemas.openxmlformats.org/officeDocument/2006/relationships/hyperlink" Target="https://www.qtes9gu0k.xyz/qgur/anxdiobae8o/" TargetMode="External"/><Relationship Id="rId59" Type="http://schemas.openxmlformats.org/officeDocument/2006/relationships/hyperlink" Target="https://www.qtes9gu0k.xyz/qgur/kujnc98/" TargetMode="External"/><Relationship Id="rId103" Type="http://schemas.openxmlformats.org/officeDocument/2006/relationships/hyperlink" Target="https://www.qtes9gu0k.xyz/qgur/c56kp9i/" TargetMode="External"/><Relationship Id="rId108" Type="http://schemas.openxmlformats.org/officeDocument/2006/relationships/hyperlink" Target="https://www.qtes9gu0k.xyz/qgur/dwxfpy9/" TargetMode="External"/><Relationship Id="rId124" Type="http://schemas.openxmlformats.org/officeDocument/2006/relationships/hyperlink" Target="https://www.qtes9gu0k.xyz/gh73u44/" TargetMode="External"/><Relationship Id="rId129" Type="http://schemas.openxmlformats.org/officeDocument/2006/relationships/hyperlink" Target="https://www.qtes9gu0k.xyz/vb4lil78v2q/" TargetMode="External"/><Relationship Id="rId54" Type="http://schemas.openxmlformats.org/officeDocument/2006/relationships/hyperlink" Target="https://1drv.ms/x/c/2c50243917c7cf35/IQBY0Jy09-8lQYQxPH2MeakxARiSHm1_wO-AOECQwDte_tU?e=DkST1v&amp;nav=MTJfJEMkMTI1X3tFRDI4QzEzRC0xNEQ5LTQ2NzEtQjNDRi0xQUREMkUzNjhDMjF9" TargetMode="External"/><Relationship Id="rId70" Type="http://schemas.openxmlformats.org/officeDocument/2006/relationships/hyperlink" Target="https://www.qtes9gu0k.xyz/qgur/saxdrp7/" TargetMode="External"/><Relationship Id="rId75" Type="http://schemas.openxmlformats.org/officeDocument/2006/relationships/hyperlink" Target="https://www.qtes9gu0k.xyz/qgur/hcsdyx2/" TargetMode="External"/><Relationship Id="rId91" Type="http://schemas.openxmlformats.org/officeDocument/2006/relationships/hyperlink" Target="https://www.qtes9gu0k.xyz/qgur/untuuue/" TargetMode="External"/><Relationship Id="rId96" Type="http://schemas.openxmlformats.org/officeDocument/2006/relationships/hyperlink" Target="https://www.qtes9gu0k.xyz/qgur/ejbwbyc/" TargetMode="External"/><Relationship Id="rId140" Type="http://schemas.openxmlformats.org/officeDocument/2006/relationships/hyperlink" Target="https://www.qtes9gu0k.xyz/ioybyigbsov/" TargetMode="External"/><Relationship Id="rId145" Type="http://schemas.openxmlformats.org/officeDocument/2006/relationships/hyperlink" Target="https://www.qtes9gu0k.xyz/wbloovwvw/" TargetMode="External"/><Relationship Id="rId1" Type="http://schemas.openxmlformats.org/officeDocument/2006/relationships/hyperlink" Target="https://www.qtes9gu0k.xyz/" TargetMode="External"/><Relationship Id="rId6" Type="http://schemas.openxmlformats.org/officeDocument/2006/relationships/hyperlink" Target="https://www.qtes9gu0k.xyz/ycqs/ybsdaff/" TargetMode="External"/><Relationship Id="rId23" Type="http://schemas.openxmlformats.org/officeDocument/2006/relationships/hyperlink" Target="https://www.qtes9gu0k.xyz/ycqs/byoaaaf/" TargetMode="External"/><Relationship Id="rId28" Type="http://schemas.openxmlformats.org/officeDocument/2006/relationships/hyperlink" Target="https://www.qtes9gu0k.xyz/ycqs/byoaaaf/" TargetMode="External"/><Relationship Id="rId49" Type="http://schemas.openxmlformats.org/officeDocument/2006/relationships/hyperlink" Target="https://www.qtes9gu0k.xyz/qgur/42ahz55/" TargetMode="External"/><Relationship Id="rId114" Type="http://schemas.openxmlformats.org/officeDocument/2006/relationships/hyperlink" Target="https://www.qtes9gu0k.xyz/b37l821/" TargetMode="External"/><Relationship Id="rId119" Type="http://schemas.openxmlformats.org/officeDocument/2006/relationships/hyperlink" Target="https://www.qtes9gu0k.xyz/b8ivea423/" TargetMode="External"/><Relationship Id="rId44" Type="http://schemas.openxmlformats.org/officeDocument/2006/relationships/hyperlink" Target="https://www.qtes9gu0k.xyz/qgur/84zfyts/" TargetMode="External"/><Relationship Id="rId60" Type="http://schemas.openxmlformats.org/officeDocument/2006/relationships/hyperlink" Target="https://www.qtes9gu0k.xyz/qgur/kujnc98/" TargetMode="External"/><Relationship Id="rId65" Type="http://schemas.openxmlformats.org/officeDocument/2006/relationships/hyperlink" Target="https://www.qtes9gu0k.xyz/qgur/fa74j6g/" TargetMode="External"/><Relationship Id="rId81" Type="http://schemas.openxmlformats.org/officeDocument/2006/relationships/hyperlink" Target="https://www.qtes9gu0k.xyz/qgur/2e5x2xf/" TargetMode="External"/><Relationship Id="rId86" Type="http://schemas.openxmlformats.org/officeDocument/2006/relationships/hyperlink" Target="https://www.qtes9gu0k.xyz/qgur/6rjs9w7/" TargetMode="External"/><Relationship Id="rId130" Type="http://schemas.openxmlformats.org/officeDocument/2006/relationships/hyperlink" Target="https://www.qtes9gu0k.xyz/vb4lil78v2q/" TargetMode="External"/><Relationship Id="rId135" Type="http://schemas.openxmlformats.org/officeDocument/2006/relationships/hyperlink" Target="https://www.qtes9gu0k.xyz/pqnxzgyt7/" TargetMode="External"/><Relationship Id="rId151" Type="http://schemas.openxmlformats.org/officeDocument/2006/relationships/hyperlink" Target="https://www.qtes9gu0k.xyz/4bv39aq/" TargetMode="External"/><Relationship Id="rId156" Type="http://schemas.openxmlformats.org/officeDocument/2006/relationships/hyperlink" Target="https://www.qtes9gu0k.xyz/qgur/b7vzel8oz/" TargetMode="External"/><Relationship Id="rId13" Type="http://schemas.openxmlformats.org/officeDocument/2006/relationships/hyperlink" Target="https://www.qtes9gu0k.xyz/ycqs/ybsdaff/" TargetMode="External"/><Relationship Id="rId18" Type="http://schemas.openxmlformats.org/officeDocument/2006/relationships/hyperlink" Target="https://www.qtes9gu0k.xyz/ycqs/byuialdf/" TargetMode="External"/><Relationship Id="rId39" Type="http://schemas.openxmlformats.org/officeDocument/2006/relationships/hyperlink" Target="https://www.qtes9gu0k.xyz/qgur/buaubewg32/" TargetMode="External"/><Relationship Id="rId109" Type="http://schemas.openxmlformats.org/officeDocument/2006/relationships/hyperlink" Target="https://www.qtes9gu0k.xyz/qgur/cmfgn9p/" TargetMode="External"/><Relationship Id="rId34" Type="http://schemas.openxmlformats.org/officeDocument/2006/relationships/hyperlink" Target="https://www.qtes9gu0k.xyz/efm5n/e2m0bhl/" TargetMode="External"/><Relationship Id="rId50" Type="http://schemas.openxmlformats.org/officeDocument/2006/relationships/hyperlink" Target="https://www.qtes9gu0k.xyz/qgur/42ahz55/" TargetMode="External"/><Relationship Id="rId55" Type="http://schemas.openxmlformats.org/officeDocument/2006/relationships/hyperlink" Target="https://1drv.ms/x/c/2c50243917c7cf35/IQBY0Jy09-8lQYQxPH2MeakxARiSHm1_wO-AOECQwDte_tU?e=DkST1v&amp;nav=MTJfJEMkMTI1X3tFRDI4QzEzRC0xNEQ5LTQ2NzEtQjNDRi0xQUREMkUzNjhDMjF9" TargetMode="External"/><Relationship Id="rId76" Type="http://schemas.openxmlformats.org/officeDocument/2006/relationships/hyperlink" Target="https://www.qtes9gu0k.xyz/qgur/ceg3ibx/" TargetMode="External"/><Relationship Id="rId97" Type="http://schemas.openxmlformats.org/officeDocument/2006/relationships/hyperlink" Target="https://www.qtes9gu0k.xyz/qgur/ejbwbyc/" TargetMode="External"/><Relationship Id="rId104" Type="http://schemas.openxmlformats.org/officeDocument/2006/relationships/hyperlink" Target="https://www.qtes9gu0k.xyz/qgur/c56kp9i/" TargetMode="External"/><Relationship Id="rId120" Type="http://schemas.openxmlformats.org/officeDocument/2006/relationships/hyperlink" Target="https://www.qtes9gu0k.xyz/b8ivea423/" TargetMode="External"/><Relationship Id="rId125" Type="http://schemas.openxmlformats.org/officeDocument/2006/relationships/hyperlink" Target="https://www.qtes9gu0k.xyz/gh73u44/" TargetMode="External"/><Relationship Id="rId141" Type="http://schemas.openxmlformats.org/officeDocument/2006/relationships/hyperlink" Target="https://www.qtes9gu0k.xyz/wbloovwvw/" TargetMode="External"/><Relationship Id="rId146" Type="http://schemas.openxmlformats.org/officeDocument/2006/relationships/hyperlink" Target="https://www.qtes9gu0k.xyz/wbloovwvw/" TargetMode="External"/><Relationship Id="rId7" Type="http://schemas.openxmlformats.org/officeDocument/2006/relationships/hyperlink" Target="https://www.qtes9gu0k.xyz/ycqs/ybsdaff/" TargetMode="External"/><Relationship Id="rId71" Type="http://schemas.openxmlformats.org/officeDocument/2006/relationships/hyperlink" Target="https://www.qtes9gu0k.xyz/qgur/tcpijki/" TargetMode="External"/><Relationship Id="rId92" Type="http://schemas.openxmlformats.org/officeDocument/2006/relationships/hyperlink" Target="https://www.qtes9gu0k.xyz/qgur/x94hggb/" TargetMode="External"/><Relationship Id="rId2" Type="http://schemas.openxmlformats.org/officeDocument/2006/relationships/hyperlink" Target="https://www.qtes9gu0k.xyz/ycqs/byiudsfyu/" TargetMode="External"/><Relationship Id="rId29" Type="http://schemas.openxmlformats.org/officeDocument/2006/relationships/hyperlink" Target="https://www.qtes9gu0k.xyz/ycqs/byoaaaf/" TargetMode="External"/><Relationship Id="rId24" Type="http://schemas.openxmlformats.org/officeDocument/2006/relationships/hyperlink" Target="https://www.qtes9gu0k.xyz/ycqs/byoaaaf/" TargetMode="External"/><Relationship Id="rId40" Type="http://schemas.openxmlformats.org/officeDocument/2006/relationships/hyperlink" Target="https://www.qtes9gu0k.xyz/qgur/buaubewg32/" TargetMode="External"/><Relationship Id="rId45" Type="http://schemas.openxmlformats.org/officeDocument/2006/relationships/hyperlink" Target="https://www.qtes9gu0k.xyz/qgur/84zfyts/" TargetMode="External"/><Relationship Id="rId66" Type="http://schemas.openxmlformats.org/officeDocument/2006/relationships/hyperlink" Target="https://www.qtes9gu0k.xyz/qgur/fa74j6g/" TargetMode="External"/><Relationship Id="rId87" Type="http://schemas.openxmlformats.org/officeDocument/2006/relationships/hyperlink" Target="https://www.qtes9gu0k.xyz/qgur/6rjs9w7/" TargetMode="External"/><Relationship Id="rId110" Type="http://schemas.openxmlformats.org/officeDocument/2006/relationships/hyperlink" Target="https://www.qtes9gu0k.xyz/qgur/b4k9gwx/" TargetMode="External"/><Relationship Id="rId115" Type="http://schemas.openxmlformats.org/officeDocument/2006/relationships/hyperlink" Target="https://www.qtes9gu0k.xyz/zm389qx/" TargetMode="External"/><Relationship Id="rId131" Type="http://schemas.openxmlformats.org/officeDocument/2006/relationships/hyperlink" Target="https://www.qtes9gu0k.xyz/fasjf213/" TargetMode="External"/><Relationship Id="rId136" Type="http://schemas.openxmlformats.org/officeDocument/2006/relationships/hyperlink" Target="https://www.qtes9gu0k.xyz/pqnxzgyt7/" TargetMode="External"/><Relationship Id="rId157" Type="http://schemas.openxmlformats.org/officeDocument/2006/relationships/hyperlink" Target="https://www.qtes9gu0k.xyz/beware/" TargetMode="External"/><Relationship Id="rId61" Type="http://schemas.openxmlformats.org/officeDocument/2006/relationships/hyperlink" Target="https://www.qtes9gu0k.xyz/qgur/b7vzel8oz/" TargetMode="External"/><Relationship Id="rId82" Type="http://schemas.openxmlformats.org/officeDocument/2006/relationships/hyperlink" Target="https://www.qtes9gu0k.xyz/qgur/2e5x2xf/" TargetMode="External"/><Relationship Id="rId152" Type="http://schemas.openxmlformats.org/officeDocument/2006/relationships/hyperlink" Target="https://www.qtes9gu0k.xyz/4bv39aq/" TargetMode="External"/><Relationship Id="rId19" Type="http://schemas.openxmlformats.org/officeDocument/2006/relationships/hyperlink" Target="https://www.qtes9gu0k.xyz/ycqs/byuialdf/" TargetMode="External"/><Relationship Id="rId14" Type="http://schemas.openxmlformats.org/officeDocument/2006/relationships/hyperlink" Target="https://www.qtes9gu0k.xyz/ycqs/ybsdaff/" TargetMode="External"/><Relationship Id="rId30" Type="http://schemas.openxmlformats.org/officeDocument/2006/relationships/hyperlink" Target="https://www.qtes9gu0k.xyz/ycqs/byoaaaf/" TargetMode="External"/><Relationship Id="rId35" Type="http://schemas.openxmlformats.org/officeDocument/2006/relationships/hyperlink" Target="https://www.qtes9gu0k.xyz/efm5n/e2m0bhl/" TargetMode="External"/><Relationship Id="rId56" Type="http://schemas.openxmlformats.org/officeDocument/2006/relationships/hyperlink" Target="https://1drv.ms/x/c/2c50243917c7cf35/IQBY0Jy09-8lQYQxPH2MeakxARiSHm1_wO-AOECQwDte_tU?e=DkST1v&amp;nav=MTJfJEMkMTI1X3tFRDI4QzEzRC0xNEQ5LTQ2NzEtQjNDRi0xQUREMkUzNjhDMjF9" TargetMode="External"/><Relationship Id="rId77" Type="http://schemas.openxmlformats.org/officeDocument/2006/relationships/hyperlink" Target="https://www.qtes9gu0k.xyz/qgur/ceg3ibx/" TargetMode="External"/><Relationship Id="rId100" Type="http://schemas.openxmlformats.org/officeDocument/2006/relationships/hyperlink" Target="https://www.qtes9gu0k.xyz/qgur/8isbtbz/" TargetMode="External"/><Relationship Id="rId105" Type="http://schemas.openxmlformats.org/officeDocument/2006/relationships/hyperlink" Target="https://www.qtes9gu0k.xyz/qgur/suhmhnb/" TargetMode="External"/><Relationship Id="rId126" Type="http://schemas.openxmlformats.org/officeDocument/2006/relationships/hyperlink" Target="https://www.qtes9gu0k.xyz/hu9p8w3/" TargetMode="External"/><Relationship Id="rId147" Type="http://schemas.openxmlformats.org/officeDocument/2006/relationships/hyperlink" Target="https://www.qtes9gu0k.xyz/mybdp843/" TargetMode="External"/><Relationship Id="rId8" Type="http://schemas.openxmlformats.org/officeDocument/2006/relationships/hyperlink" Target="https://www.qtes9gu0k.xyz/ycqs/ybsdaff/" TargetMode="External"/><Relationship Id="rId51" Type="http://schemas.openxmlformats.org/officeDocument/2006/relationships/hyperlink" Target="https://www.qtes9gu0k.xyz/qgur/ei282yf/" TargetMode="External"/><Relationship Id="rId72" Type="http://schemas.openxmlformats.org/officeDocument/2006/relationships/hyperlink" Target="https://www.qtes9gu0k.xyz/qgur/tcpijki/" TargetMode="External"/><Relationship Id="rId93" Type="http://schemas.openxmlformats.org/officeDocument/2006/relationships/hyperlink" Target="https://www.qtes9gu0k.xyz/qgur/x94hggb/" TargetMode="External"/><Relationship Id="rId98" Type="http://schemas.openxmlformats.org/officeDocument/2006/relationships/hyperlink" Target="https://www.qtes9gu0k.xyz/qgur/ejbwbyc/" TargetMode="External"/><Relationship Id="rId121" Type="http://schemas.openxmlformats.org/officeDocument/2006/relationships/hyperlink" Target="https://www.qtes9gu0k.xyz/p8we8a23/" TargetMode="External"/><Relationship Id="rId142" Type="http://schemas.openxmlformats.org/officeDocument/2006/relationships/hyperlink" Target="https://www.qtes9gu0k.xyz/wbloovwvw/" TargetMode="External"/><Relationship Id="rId3" Type="http://schemas.openxmlformats.org/officeDocument/2006/relationships/hyperlink" Target="https://www.qtes9gu0k.xyz/ycqs/byiudsfyu/" TargetMode="External"/><Relationship Id="rId25" Type="http://schemas.openxmlformats.org/officeDocument/2006/relationships/hyperlink" Target="https://www.qtes9gu0k.xyz/ycqs/byoaaaf/" TargetMode="External"/><Relationship Id="rId46" Type="http://schemas.openxmlformats.org/officeDocument/2006/relationships/hyperlink" Target="https://www.qtes9gu0k.xyz/qgur/84zfyts/" TargetMode="External"/><Relationship Id="rId67" Type="http://schemas.openxmlformats.org/officeDocument/2006/relationships/hyperlink" Target="https://www.qtes9gu0k.xyz/qgur/3682ned/" TargetMode="External"/><Relationship Id="rId116" Type="http://schemas.openxmlformats.org/officeDocument/2006/relationships/hyperlink" Target="https://www.qtes9gu0k.xyz/zm389qx/" TargetMode="External"/><Relationship Id="rId137" Type="http://schemas.openxmlformats.org/officeDocument/2006/relationships/hyperlink" Target="https://www.qtes9gu0k.xyz/pqnxzgyt7/" TargetMode="External"/><Relationship Id="rId20" Type="http://schemas.openxmlformats.org/officeDocument/2006/relationships/hyperlink" Target="https://www.qtes9gu0k.xyz/ycqs/byuialdf/" TargetMode="External"/><Relationship Id="rId41" Type="http://schemas.openxmlformats.org/officeDocument/2006/relationships/hyperlink" Target="https://www.qtes9gu0k.xyz/qgur/72769a6/" TargetMode="External"/><Relationship Id="rId62" Type="http://schemas.openxmlformats.org/officeDocument/2006/relationships/hyperlink" Target="https://www.qtes9gu0k.xyz/qgur/b7vzel8oz/" TargetMode="External"/><Relationship Id="rId83" Type="http://schemas.openxmlformats.org/officeDocument/2006/relationships/hyperlink" Target="https://www.qtes9gu0k.xyz/qgur/ab8el8q/" TargetMode="External"/><Relationship Id="rId88" Type="http://schemas.openxmlformats.org/officeDocument/2006/relationships/hyperlink" Target="https://www.qtes9gu0k.xyz/qgur/84xyepj/" TargetMode="External"/><Relationship Id="rId111" Type="http://schemas.openxmlformats.org/officeDocument/2006/relationships/hyperlink" Target="https://www.qtes9gu0k.xyz/qgur/b4k9gwx/" TargetMode="External"/><Relationship Id="rId132" Type="http://schemas.openxmlformats.org/officeDocument/2006/relationships/hyperlink" Target="https://www.qtes9gu0k.xyz/fasjf213/" TargetMode="External"/><Relationship Id="rId153" Type="http://schemas.openxmlformats.org/officeDocument/2006/relationships/hyperlink" Target="https://www.qtes9gu0k.xyz/4bv39aq/" TargetMode="External"/><Relationship Id="rId15" Type="http://schemas.openxmlformats.org/officeDocument/2006/relationships/hyperlink" Target="https://www.qtes9gu0k.xyz/ycqs/ybsdaff/" TargetMode="External"/><Relationship Id="rId36" Type="http://schemas.openxmlformats.org/officeDocument/2006/relationships/hyperlink" Target="https://www.qtes9gu0k.xyz/qgur/" TargetMode="External"/><Relationship Id="rId57" Type="http://schemas.openxmlformats.org/officeDocument/2006/relationships/hyperlink" Target="https://www.qtes9gu0k.xyz/qgur/eea4ijd/" TargetMode="External"/><Relationship Id="rId106" Type="http://schemas.openxmlformats.org/officeDocument/2006/relationships/hyperlink" Target="https://www.qtes9gu0k.xyz/qgur/suhmhnb/" TargetMode="External"/><Relationship Id="rId127" Type="http://schemas.openxmlformats.org/officeDocument/2006/relationships/hyperlink" Target="https://www.qtes9gu0k.xyz/hu9p8w3/" TargetMode="External"/><Relationship Id="rId10" Type="http://schemas.openxmlformats.org/officeDocument/2006/relationships/hyperlink" Target="https://www.qtes9gu0k.xyz/ycqs/ybsdaff/" TargetMode="External"/><Relationship Id="rId31" Type="http://schemas.openxmlformats.org/officeDocument/2006/relationships/hyperlink" Target="https://www.qtes9gu0k.xyz/efm5n/" TargetMode="External"/><Relationship Id="rId52" Type="http://schemas.openxmlformats.org/officeDocument/2006/relationships/hyperlink" Target="https://www.qtes9gu0k.xyz/qgur/ei282yf/" TargetMode="External"/><Relationship Id="rId73" Type="http://schemas.openxmlformats.org/officeDocument/2006/relationships/hyperlink" Target="https://www.qtes9gu0k.xyz/qgur/63jwb7p/" TargetMode="External"/><Relationship Id="rId78" Type="http://schemas.openxmlformats.org/officeDocument/2006/relationships/hyperlink" Target="https://www.qtes9gu0k.xyz/qgur/ceg3ibx/" TargetMode="External"/><Relationship Id="rId94" Type="http://schemas.openxmlformats.org/officeDocument/2006/relationships/hyperlink" Target="https://www.qtes9gu0k.xyz/qgur/k5fxams/" TargetMode="External"/><Relationship Id="rId99" Type="http://schemas.openxmlformats.org/officeDocument/2006/relationships/hyperlink" Target="https://www.qtes9gu0k.xyz/qgur/94jgyis/" TargetMode="External"/><Relationship Id="rId101" Type="http://schemas.openxmlformats.org/officeDocument/2006/relationships/hyperlink" Target="https://www.qtes9gu0k.xyz/qgur/7yegxf8/" TargetMode="External"/><Relationship Id="rId122" Type="http://schemas.openxmlformats.org/officeDocument/2006/relationships/hyperlink" Target="https://www.qtes9gu0k.xyz/p8we8a23/" TargetMode="External"/><Relationship Id="rId143" Type="http://schemas.openxmlformats.org/officeDocument/2006/relationships/hyperlink" Target="https://www.qtes9gu0k.xyz/wbloovwvw/" TargetMode="External"/><Relationship Id="rId148" Type="http://schemas.openxmlformats.org/officeDocument/2006/relationships/hyperlink" Target="https://www.qtes9gu0k.xyz/mybdp843/" TargetMode="External"/><Relationship Id="rId4" Type="http://schemas.openxmlformats.org/officeDocument/2006/relationships/hyperlink" Target="https://www.qtes9gu0k.xyz/ycqs/byiudsfyu/" TargetMode="External"/><Relationship Id="rId9" Type="http://schemas.openxmlformats.org/officeDocument/2006/relationships/hyperlink" Target="https://www.qtes9gu0k.xyz/ycqs/ybsdaff/" TargetMode="External"/><Relationship Id="rId26" Type="http://schemas.openxmlformats.org/officeDocument/2006/relationships/hyperlink" Target="https://www.qtes9gu0k.xyz/ycqs/byoaaaf/" TargetMode="External"/><Relationship Id="rId47" Type="http://schemas.openxmlformats.org/officeDocument/2006/relationships/hyperlink" Target="https://www.qtes9gu0k.xyz/qgur/84zfyts/" TargetMode="External"/><Relationship Id="rId68" Type="http://schemas.openxmlformats.org/officeDocument/2006/relationships/hyperlink" Target="https://www.qtes9gu0k.xyz/qgur/3682ned/" TargetMode="External"/><Relationship Id="rId89" Type="http://schemas.openxmlformats.org/officeDocument/2006/relationships/hyperlink" Target="https://www.qtes9gu0k.xyz/qgur/84xyepj/" TargetMode="External"/><Relationship Id="rId112" Type="http://schemas.openxmlformats.org/officeDocument/2006/relationships/hyperlink" Target="https://www.qtes9gu0k.xyz/qgur/izwfttm/" TargetMode="External"/><Relationship Id="rId133" Type="http://schemas.openxmlformats.org/officeDocument/2006/relationships/hyperlink" Target="https://www.qtes9gu0k.xyz/fasjf213/" TargetMode="External"/><Relationship Id="rId154" Type="http://schemas.openxmlformats.org/officeDocument/2006/relationships/hyperlink" Target="https://www.qtes9gu0k.xyz/qgur/392a4xs/" TargetMode="External"/><Relationship Id="rId16" Type="http://schemas.openxmlformats.org/officeDocument/2006/relationships/hyperlink" Target="https://www.qtes9gu0k.xyz/ycqs/byuialdf/" TargetMode="External"/><Relationship Id="rId37" Type="http://schemas.openxmlformats.org/officeDocument/2006/relationships/hyperlink" Target="https://www.qtes9gu0k.xyz/qgur/8492tqha/" TargetMode="External"/><Relationship Id="rId58" Type="http://schemas.openxmlformats.org/officeDocument/2006/relationships/hyperlink" Target="https://www.qtes9gu0k.xyz/qgur/eea4ijd/" TargetMode="External"/><Relationship Id="rId79" Type="http://schemas.openxmlformats.org/officeDocument/2006/relationships/hyperlink" Target="https://www.qtes9gu0k.xyz/qgur/hmfe73a/" TargetMode="External"/><Relationship Id="rId102" Type="http://schemas.openxmlformats.org/officeDocument/2006/relationships/hyperlink" Target="https://www.qtes9gu0k.xyz/qgur/7yegxf8/" TargetMode="External"/><Relationship Id="rId123" Type="http://schemas.openxmlformats.org/officeDocument/2006/relationships/hyperlink" Target="https://www.qtes9gu0k.xyz/p8we8a23/" TargetMode="External"/><Relationship Id="rId144" Type="http://schemas.openxmlformats.org/officeDocument/2006/relationships/hyperlink" Target="https://www.qtes9gu0k.xyz/wbloovwvw/" TargetMode="External"/><Relationship Id="rId90" Type="http://schemas.openxmlformats.org/officeDocument/2006/relationships/hyperlink" Target="https://www.qtes9gu0k.xyz/qgur/untuuue/" TargetMode="External"/><Relationship Id="rId27" Type="http://schemas.openxmlformats.org/officeDocument/2006/relationships/hyperlink" Target="https://www.qtes9gu0k.xyz/ycqs/byoaaaf/" TargetMode="External"/><Relationship Id="rId48" Type="http://schemas.openxmlformats.org/officeDocument/2006/relationships/hyperlink" Target="https://www.qtes9gu0k.xyz/qgur/72769a6/" TargetMode="External"/><Relationship Id="rId69" Type="http://schemas.openxmlformats.org/officeDocument/2006/relationships/hyperlink" Target="https://www.qtes9gu0k.xyz/qgur/saxdrp7/" TargetMode="External"/><Relationship Id="rId113" Type="http://schemas.openxmlformats.org/officeDocument/2006/relationships/hyperlink" Target="https://www.qtes9gu0k.xyz/9b87wr79243/" TargetMode="External"/><Relationship Id="rId134" Type="http://schemas.openxmlformats.org/officeDocument/2006/relationships/hyperlink" Target="https://www.qtes9gu0k.xyz/qgur/anxdiobae8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C662F-D86D-4637-B92E-2CD6E56E93FE}">
  <dimension ref="A1:J346"/>
  <sheetViews>
    <sheetView tabSelected="1" zoomScaleNormal="100" workbookViewId="0">
      <pane xSplit="3" ySplit="1" topLeftCell="D321" activePane="bottomRight" state="frozen"/>
      <selection pane="topRight" activeCell="D1" sqref="D1"/>
      <selection pane="bottomLeft" activeCell="A2" sqref="A2"/>
      <selection pane="bottomRight" activeCell="E335" sqref="E335"/>
    </sheetView>
  </sheetViews>
  <sheetFormatPr defaultRowHeight="18.75" x14ac:dyDescent="0.4"/>
  <cols>
    <col min="2" max="2" width="9" style="1"/>
    <col min="4" max="4" width="28.125" style="33" bestFit="1" customWidth="1"/>
    <col min="5" max="5" width="21.375" style="33" bestFit="1" customWidth="1"/>
    <col min="6" max="6" width="21.375" style="31" bestFit="1" customWidth="1"/>
    <col min="7" max="7" width="19.125" style="31" bestFit="1" customWidth="1"/>
    <col min="8" max="10" width="9" style="31"/>
  </cols>
  <sheetData>
    <row r="1" spans="1:10" s="49" customFormat="1" ht="18" x14ac:dyDescent="0.4">
      <c r="A1" s="49" t="s">
        <v>1880</v>
      </c>
      <c r="B1" s="50" t="s">
        <v>1560</v>
      </c>
      <c r="C1" s="49" t="s">
        <v>1561</v>
      </c>
      <c r="D1" s="51" t="s">
        <v>2029</v>
      </c>
      <c r="E1" s="51" t="s">
        <v>2015</v>
      </c>
      <c r="F1" s="52" t="s">
        <v>2016</v>
      </c>
      <c r="G1" s="52" t="s">
        <v>2017</v>
      </c>
      <c r="H1" s="52" t="s">
        <v>2018</v>
      </c>
      <c r="I1" s="52" t="s">
        <v>2019</v>
      </c>
      <c r="J1" s="52" t="s">
        <v>2020</v>
      </c>
    </row>
    <row r="2" spans="1:10" x14ac:dyDescent="0.4">
      <c r="B2" s="1" t="s">
        <v>0</v>
      </c>
      <c r="C2">
        <v>0</v>
      </c>
    </row>
    <row r="3" spans="1:10" x14ac:dyDescent="0.4">
      <c r="B3" s="1" t="s">
        <v>1495</v>
      </c>
      <c r="C3">
        <v>1</v>
      </c>
    </row>
    <row r="4" spans="1:10" x14ac:dyDescent="0.4">
      <c r="B4" s="1" t="s">
        <v>1496</v>
      </c>
      <c r="C4">
        <v>2</v>
      </c>
    </row>
    <row r="5" spans="1:10" x14ac:dyDescent="0.4">
      <c r="B5" s="1" t="s">
        <v>1497</v>
      </c>
      <c r="C5">
        <v>3</v>
      </c>
    </row>
    <row r="6" spans="1:10" x14ac:dyDescent="0.4">
      <c r="B6" s="1" t="s">
        <v>1498</v>
      </c>
      <c r="C6">
        <v>4</v>
      </c>
    </row>
    <row r="7" spans="1:10" x14ac:dyDescent="0.4">
      <c r="B7" s="1" t="s">
        <v>1499</v>
      </c>
      <c r="C7">
        <v>5</v>
      </c>
    </row>
    <row r="8" spans="1:10" x14ac:dyDescent="0.4">
      <c r="B8" s="1" t="s">
        <v>1500</v>
      </c>
      <c r="C8">
        <v>6</v>
      </c>
    </row>
    <row r="9" spans="1:10" x14ac:dyDescent="0.4">
      <c r="B9" s="1" t="s">
        <v>1501</v>
      </c>
      <c r="C9">
        <v>7</v>
      </c>
    </row>
    <row r="10" spans="1:10" x14ac:dyDescent="0.4">
      <c r="B10" s="1" t="s">
        <v>1502</v>
      </c>
      <c r="C10">
        <v>8</v>
      </c>
    </row>
    <row r="11" spans="1:10" x14ac:dyDescent="0.4">
      <c r="B11" s="1" t="s">
        <v>1503</v>
      </c>
      <c r="C11">
        <v>9</v>
      </c>
    </row>
    <row r="12" spans="1:10" x14ac:dyDescent="0.4">
      <c r="B12" s="1" t="s">
        <v>1504</v>
      </c>
      <c r="C12">
        <v>10</v>
      </c>
    </row>
    <row r="13" spans="1:10" x14ac:dyDescent="0.4">
      <c r="B13" s="1" t="s">
        <v>1505</v>
      </c>
      <c r="C13">
        <v>11</v>
      </c>
    </row>
    <row r="14" spans="1:10" x14ac:dyDescent="0.4">
      <c r="B14" s="1" t="s">
        <v>1506</v>
      </c>
      <c r="C14">
        <v>12</v>
      </c>
    </row>
    <row r="15" spans="1:10" x14ac:dyDescent="0.4">
      <c r="B15" s="1" t="s">
        <v>1507</v>
      </c>
      <c r="C15">
        <v>13</v>
      </c>
    </row>
    <row r="16" spans="1:10" x14ac:dyDescent="0.4">
      <c r="B16" s="1" t="s">
        <v>1508</v>
      </c>
      <c r="C16">
        <v>14</v>
      </c>
    </row>
    <row r="17" spans="2:3" x14ac:dyDescent="0.4">
      <c r="B17" s="1" t="s">
        <v>1509</v>
      </c>
      <c r="C17">
        <v>15</v>
      </c>
    </row>
    <row r="18" spans="2:3" x14ac:dyDescent="0.4">
      <c r="B18" s="1" t="s">
        <v>1510</v>
      </c>
      <c r="C18">
        <v>16</v>
      </c>
    </row>
    <row r="19" spans="2:3" x14ac:dyDescent="0.4">
      <c r="B19" s="1" t="s">
        <v>1511</v>
      </c>
      <c r="C19">
        <v>17</v>
      </c>
    </row>
    <row r="20" spans="2:3" x14ac:dyDescent="0.4">
      <c r="B20" s="1" t="s">
        <v>1512</v>
      </c>
      <c r="C20">
        <v>18</v>
      </c>
    </row>
    <row r="21" spans="2:3" x14ac:dyDescent="0.4">
      <c r="B21" s="1" t="s">
        <v>1513</v>
      </c>
      <c r="C21">
        <v>19</v>
      </c>
    </row>
    <row r="22" spans="2:3" x14ac:dyDescent="0.4">
      <c r="B22" s="1" t="s">
        <v>1514</v>
      </c>
      <c r="C22">
        <v>20</v>
      </c>
    </row>
    <row r="23" spans="2:3" x14ac:dyDescent="0.4">
      <c r="B23" s="1" t="s">
        <v>1515</v>
      </c>
      <c r="C23">
        <v>21</v>
      </c>
    </row>
    <row r="24" spans="2:3" x14ac:dyDescent="0.4">
      <c r="B24" s="1" t="s">
        <v>1516</v>
      </c>
      <c r="C24">
        <v>22</v>
      </c>
    </row>
    <row r="25" spans="2:3" x14ac:dyDescent="0.4">
      <c r="B25" s="1" t="s">
        <v>1517</v>
      </c>
      <c r="C25">
        <v>23</v>
      </c>
    </row>
    <row r="26" spans="2:3" x14ac:dyDescent="0.4">
      <c r="B26" s="1" t="s">
        <v>1518</v>
      </c>
      <c r="C26">
        <v>24</v>
      </c>
    </row>
    <row r="27" spans="2:3" x14ac:dyDescent="0.4">
      <c r="B27" s="1" t="s">
        <v>1519</v>
      </c>
      <c r="C27">
        <v>25</v>
      </c>
    </row>
    <row r="28" spans="2:3" x14ac:dyDescent="0.4">
      <c r="B28" s="1" t="s">
        <v>1520</v>
      </c>
      <c r="C28">
        <v>26</v>
      </c>
    </row>
    <row r="29" spans="2:3" x14ac:dyDescent="0.4">
      <c r="B29" s="1" t="s">
        <v>1521</v>
      </c>
      <c r="C29">
        <v>27</v>
      </c>
    </row>
    <row r="30" spans="2:3" x14ac:dyDescent="0.4">
      <c r="B30" s="1" t="s">
        <v>1522</v>
      </c>
      <c r="C30">
        <v>28</v>
      </c>
    </row>
    <row r="31" spans="2:3" x14ac:dyDescent="0.4">
      <c r="B31" s="1" t="s">
        <v>1873</v>
      </c>
      <c r="C31">
        <v>29</v>
      </c>
    </row>
    <row r="32" spans="2:3" x14ac:dyDescent="0.4">
      <c r="B32" s="1" t="s">
        <v>1523</v>
      </c>
      <c r="C32">
        <v>30</v>
      </c>
    </row>
    <row r="33" spans="2:3" x14ac:dyDescent="0.4">
      <c r="B33" s="1" t="s">
        <v>1524</v>
      </c>
      <c r="C33">
        <v>31</v>
      </c>
    </row>
    <row r="34" spans="2:3" x14ac:dyDescent="0.4">
      <c r="B34" s="1" t="s">
        <v>1525</v>
      </c>
      <c r="C34">
        <v>32</v>
      </c>
    </row>
    <row r="35" spans="2:3" x14ac:dyDescent="0.4">
      <c r="B35" s="1" t="s">
        <v>1526</v>
      </c>
      <c r="C35">
        <v>33</v>
      </c>
    </row>
    <row r="36" spans="2:3" x14ac:dyDescent="0.4">
      <c r="B36" s="1" t="s">
        <v>1527</v>
      </c>
      <c r="C36">
        <v>34</v>
      </c>
    </row>
    <row r="37" spans="2:3" x14ac:dyDescent="0.4">
      <c r="B37" s="1" t="s">
        <v>1528</v>
      </c>
      <c r="C37">
        <v>35</v>
      </c>
    </row>
    <row r="38" spans="2:3" x14ac:dyDescent="0.4">
      <c r="B38" s="1" t="s">
        <v>1529</v>
      </c>
      <c r="C38">
        <v>36</v>
      </c>
    </row>
    <row r="39" spans="2:3" x14ac:dyDescent="0.4">
      <c r="B39" s="1" t="s">
        <v>1530</v>
      </c>
      <c r="C39">
        <v>37</v>
      </c>
    </row>
    <row r="40" spans="2:3" x14ac:dyDescent="0.4">
      <c r="B40" s="1" t="s">
        <v>1531</v>
      </c>
      <c r="C40">
        <v>38</v>
      </c>
    </row>
    <row r="41" spans="2:3" x14ac:dyDescent="0.4">
      <c r="B41" s="1" t="s">
        <v>1532</v>
      </c>
      <c r="C41">
        <v>39</v>
      </c>
    </row>
    <row r="42" spans="2:3" x14ac:dyDescent="0.4">
      <c r="B42" s="1" t="s">
        <v>1533</v>
      </c>
      <c r="C42">
        <v>40</v>
      </c>
    </row>
    <row r="43" spans="2:3" x14ac:dyDescent="0.4">
      <c r="B43" s="1" t="s">
        <v>1534</v>
      </c>
      <c r="C43">
        <v>41</v>
      </c>
    </row>
    <row r="44" spans="2:3" x14ac:dyDescent="0.4">
      <c r="B44" s="1" t="s">
        <v>1535</v>
      </c>
      <c r="C44">
        <v>42</v>
      </c>
    </row>
    <row r="45" spans="2:3" x14ac:dyDescent="0.4">
      <c r="B45" s="1" t="s">
        <v>1874</v>
      </c>
      <c r="C45">
        <v>43</v>
      </c>
    </row>
    <row r="46" spans="2:3" x14ac:dyDescent="0.4">
      <c r="B46" s="1" t="s">
        <v>1536</v>
      </c>
      <c r="C46">
        <v>44</v>
      </c>
    </row>
    <row r="47" spans="2:3" x14ac:dyDescent="0.4">
      <c r="B47" s="1" t="s">
        <v>1537</v>
      </c>
      <c r="C47">
        <v>45</v>
      </c>
    </row>
    <row r="48" spans="2:3" x14ac:dyDescent="0.4">
      <c r="B48" s="1" t="s">
        <v>1538</v>
      </c>
      <c r="C48">
        <v>46</v>
      </c>
    </row>
    <row r="49" spans="2:3" x14ac:dyDescent="0.4">
      <c r="B49" s="1" t="s">
        <v>1539</v>
      </c>
      <c r="C49">
        <v>47</v>
      </c>
    </row>
    <row r="50" spans="2:3" x14ac:dyDescent="0.4">
      <c r="B50" s="1" t="s">
        <v>1540</v>
      </c>
      <c r="C50">
        <v>48</v>
      </c>
    </row>
    <row r="51" spans="2:3" x14ac:dyDescent="0.4">
      <c r="B51" s="1" t="s">
        <v>1541</v>
      </c>
      <c r="C51">
        <v>49</v>
      </c>
    </row>
    <row r="52" spans="2:3" x14ac:dyDescent="0.4">
      <c r="B52" s="1" t="s">
        <v>1542</v>
      </c>
      <c r="C52">
        <v>50</v>
      </c>
    </row>
    <row r="53" spans="2:3" x14ac:dyDescent="0.4">
      <c r="B53" s="1" t="s">
        <v>1543</v>
      </c>
      <c r="C53">
        <v>51</v>
      </c>
    </row>
    <row r="54" spans="2:3" x14ac:dyDescent="0.4">
      <c r="B54" s="1" t="s">
        <v>1544</v>
      </c>
      <c r="C54">
        <v>52</v>
      </c>
    </row>
    <row r="55" spans="2:3" x14ac:dyDescent="0.4">
      <c r="B55" s="1" t="s">
        <v>1545</v>
      </c>
      <c r="C55">
        <v>53</v>
      </c>
    </row>
    <row r="56" spans="2:3" x14ac:dyDescent="0.4">
      <c r="B56" s="1" t="s">
        <v>1546</v>
      </c>
      <c r="C56">
        <v>54</v>
      </c>
    </row>
    <row r="57" spans="2:3" x14ac:dyDescent="0.4">
      <c r="B57" s="1" t="s">
        <v>1547</v>
      </c>
      <c r="C57">
        <v>55</v>
      </c>
    </row>
    <row r="58" spans="2:3" x14ac:dyDescent="0.4">
      <c r="B58" s="1" t="s">
        <v>1548</v>
      </c>
      <c r="C58">
        <v>56</v>
      </c>
    </row>
    <row r="59" spans="2:3" x14ac:dyDescent="0.4">
      <c r="B59" s="1" t="s">
        <v>1549</v>
      </c>
      <c r="C59">
        <v>57</v>
      </c>
    </row>
    <row r="60" spans="2:3" x14ac:dyDescent="0.4">
      <c r="B60" s="1" t="s">
        <v>1550</v>
      </c>
      <c r="C60">
        <v>58</v>
      </c>
    </row>
    <row r="61" spans="2:3" x14ac:dyDescent="0.4">
      <c r="B61" s="1" t="s">
        <v>1551</v>
      </c>
      <c r="C61">
        <v>59</v>
      </c>
    </row>
    <row r="62" spans="2:3" x14ac:dyDescent="0.4">
      <c r="B62" s="1" t="s">
        <v>1552</v>
      </c>
      <c r="C62">
        <v>60</v>
      </c>
    </row>
    <row r="63" spans="2:3" x14ac:dyDescent="0.4">
      <c r="B63" s="1" t="s">
        <v>1875</v>
      </c>
      <c r="C63">
        <v>61</v>
      </c>
    </row>
    <row r="64" spans="2:3" x14ac:dyDescent="0.4">
      <c r="B64" s="1" t="s">
        <v>1553</v>
      </c>
      <c r="C64">
        <v>62</v>
      </c>
    </row>
    <row r="65" spans="2:3" x14ac:dyDescent="0.4">
      <c r="B65" s="1" t="s">
        <v>1554</v>
      </c>
      <c r="C65">
        <v>63</v>
      </c>
    </row>
    <row r="66" spans="2:3" x14ac:dyDescent="0.4">
      <c r="B66" s="1" t="s">
        <v>1555</v>
      </c>
      <c r="C66">
        <v>64</v>
      </c>
    </row>
    <row r="67" spans="2:3" x14ac:dyDescent="0.4">
      <c r="B67" s="1" t="s">
        <v>1556</v>
      </c>
      <c r="C67">
        <v>65</v>
      </c>
    </row>
    <row r="68" spans="2:3" x14ac:dyDescent="0.4">
      <c r="B68" s="1" t="s">
        <v>1557</v>
      </c>
      <c r="C68">
        <v>66</v>
      </c>
    </row>
    <row r="69" spans="2:3" x14ac:dyDescent="0.4">
      <c r="B69" s="1" t="s">
        <v>1558</v>
      </c>
      <c r="C69">
        <v>67</v>
      </c>
    </row>
    <row r="70" spans="2:3" x14ac:dyDescent="0.4">
      <c r="B70" s="1" t="s">
        <v>1559</v>
      </c>
      <c r="C70">
        <v>68</v>
      </c>
    </row>
    <row r="71" spans="2:3" x14ac:dyDescent="0.4">
      <c r="B71" s="1" t="s">
        <v>69</v>
      </c>
      <c r="C71">
        <v>69</v>
      </c>
    </row>
    <row r="72" spans="2:3" x14ac:dyDescent="0.4">
      <c r="B72" s="1" t="s">
        <v>1881</v>
      </c>
      <c r="C72" t="s">
        <v>1562</v>
      </c>
    </row>
    <row r="73" spans="2:3" x14ac:dyDescent="0.4">
      <c r="B73" s="1" t="s">
        <v>1563</v>
      </c>
      <c r="C73" t="s">
        <v>1564</v>
      </c>
    </row>
    <row r="74" spans="2:3" x14ac:dyDescent="0.4">
      <c r="B74" s="1" t="s">
        <v>1565</v>
      </c>
      <c r="C74" t="s">
        <v>1566</v>
      </c>
    </row>
    <row r="75" spans="2:3" x14ac:dyDescent="0.4">
      <c r="B75" s="1" t="s">
        <v>1150</v>
      </c>
      <c r="C75" t="s">
        <v>1567</v>
      </c>
    </row>
    <row r="76" spans="2:3" x14ac:dyDescent="0.4">
      <c r="B76" s="1" t="s">
        <v>1568</v>
      </c>
      <c r="C76" t="s">
        <v>1569</v>
      </c>
    </row>
    <row r="77" spans="2:3" x14ac:dyDescent="0.4">
      <c r="B77" s="1" t="s">
        <v>1570</v>
      </c>
      <c r="C77" t="s">
        <v>1571</v>
      </c>
    </row>
    <row r="78" spans="2:3" x14ac:dyDescent="0.4">
      <c r="B78" s="1" t="s">
        <v>357</v>
      </c>
      <c r="C78" t="s">
        <v>1572</v>
      </c>
    </row>
    <row r="79" spans="2:3" x14ac:dyDescent="0.4">
      <c r="B79" s="1" t="s">
        <v>1573</v>
      </c>
      <c r="C79" t="s">
        <v>1574</v>
      </c>
    </row>
    <row r="80" spans="2:3" x14ac:dyDescent="0.4">
      <c r="B80" s="1" t="s">
        <v>1575</v>
      </c>
      <c r="C80" t="s">
        <v>1576</v>
      </c>
    </row>
    <row r="81" spans="2:3" x14ac:dyDescent="0.4">
      <c r="B81" s="1" t="s">
        <v>2761</v>
      </c>
      <c r="C81" t="s">
        <v>1577</v>
      </c>
    </row>
    <row r="82" spans="2:3" x14ac:dyDescent="0.4">
      <c r="B82" s="1" t="s">
        <v>1882</v>
      </c>
      <c r="C82" t="s">
        <v>1578</v>
      </c>
    </row>
    <row r="83" spans="2:3" x14ac:dyDescent="0.4">
      <c r="B83" s="1" t="s">
        <v>1142</v>
      </c>
      <c r="C83" t="s">
        <v>1579</v>
      </c>
    </row>
    <row r="84" spans="2:3" x14ac:dyDescent="0.4">
      <c r="B84" s="1" t="s">
        <v>1883</v>
      </c>
      <c r="C84" t="s">
        <v>1580</v>
      </c>
    </row>
    <row r="85" spans="2:3" x14ac:dyDescent="0.4">
      <c r="B85" s="1" t="s">
        <v>1879</v>
      </c>
      <c r="C85" t="s">
        <v>1581</v>
      </c>
    </row>
    <row r="86" spans="2:3" x14ac:dyDescent="0.4">
      <c r="B86" s="1" t="s">
        <v>1884</v>
      </c>
      <c r="C86" t="s">
        <v>863</v>
      </c>
    </row>
    <row r="87" spans="2:3" x14ac:dyDescent="0.4">
      <c r="B87" s="1" t="s">
        <v>216</v>
      </c>
      <c r="C87" t="s">
        <v>1582</v>
      </c>
    </row>
    <row r="88" spans="2:3" x14ac:dyDescent="0.4">
      <c r="B88" s="1" t="s">
        <v>1583</v>
      </c>
      <c r="C88" t="s">
        <v>1584</v>
      </c>
    </row>
    <row r="89" spans="2:3" x14ac:dyDescent="0.4">
      <c r="B89" s="1" t="s">
        <v>373</v>
      </c>
      <c r="C89" t="s">
        <v>1585</v>
      </c>
    </row>
    <row r="90" spans="2:3" x14ac:dyDescent="0.4">
      <c r="B90" s="1" t="s">
        <v>1586</v>
      </c>
      <c r="C90" t="s">
        <v>1587</v>
      </c>
    </row>
    <row r="91" spans="2:3" x14ac:dyDescent="0.4">
      <c r="B91" s="1" t="s">
        <v>1885</v>
      </c>
      <c r="C91" t="s">
        <v>717</v>
      </c>
    </row>
    <row r="92" spans="2:3" x14ac:dyDescent="0.4">
      <c r="B92" s="1" t="s">
        <v>1588</v>
      </c>
      <c r="C92" t="s">
        <v>1589</v>
      </c>
    </row>
    <row r="93" spans="2:3" x14ac:dyDescent="0.4">
      <c r="B93" s="1" t="s">
        <v>1590</v>
      </c>
      <c r="C93" t="s">
        <v>1591</v>
      </c>
    </row>
    <row r="94" spans="2:3" x14ac:dyDescent="0.4">
      <c r="B94" s="1" t="s">
        <v>1592</v>
      </c>
      <c r="C94" t="s">
        <v>1593</v>
      </c>
    </row>
    <row r="95" spans="2:3" x14ac:dyDescent="0.4">
      <c r="B95" s="1" t="s">
        <v>1886</v>
      </c>
      <c r="C95" t="s">
        <v>1594</v>
      </c>
    </row>
    <row r="96" spans="2:3" x14ac:dyDescent="0.4">
      <c r="B96" s="1" t="s">
        <v>712</v>
      </c>
      <c r="C96" t="s">
        <v>1595</v>
      </c>
    </row>
    <row r="97" spans="2:3" x14ac:dyDescent="0.4">
      <c r="B97" s="1" t="s">
        <v>1596</v>
      </c>
      <c r="C97" t="s">
        <v>1597</v>
      </c>
    </row>
    <row r="98" spans="2:3" x14ac:dyDescent="0.4">
      <c r="B98" s="1" t="s">
        <v>1598</v>
      </c>
      <c r="C98" t="s">
        <v>1599</v>
      </c>
    </row>
    <row r="99" spans="2:3" x14ac:dyDescent="0.4">
      <c r="B99" s="1" t="s">
        <v>1887</v>
      </c>
      <c r="C99" t="s">
        <v>722</v>
      </c>
    </row>
    <row r="100" spans="2:3" x14ac:dyDescent="0.4">
      <c r="B100" s="1" t="s">
        <v>1600</v>
      </c>
      <c r="C100" t="s">
        <v>1601</v>
      </c>
    </row>
    <row r="101" spans="2:3" x14ac:dyDescent="0.4">
      <c r="B101" s="1" t="s">
        <v>1888</v>
      </c>
      <c r="C101" t="s">
        <v>1602</v>
      </c>
    </row>
    <row r="102" spans="2:3" x14ac:dyDescent="0.4">
      <c r="B102" s="1" t="s">
        <v>1214</v>
      </c>
      <c r="C102" t="s">
        <v>1603</v>
      </c>
    </row>
    <row r="103" spans="2:3" x14ac:dyDescent="0.4">
      <c r="B103" s="1" t="s">
        <v>1604</v>
      </c>
      <c r="C103" t="s">
        <v>1605</v>
      </c>
    </row>
    <row r="104" spans="2:3" x14ac:dyDescent="0.4">
      <c r="B104" s="1" t="s">
        <v>1889</v>
      </c>
      <c r="C104" t="s">
        <v>1606</v>
      </c>
    </row>
    <row r="105" spans="2:3" x14ac:dyDescent="0.4">
      <c r="B105" s="1" t="s">
        <v>287</v>
      </c>
      <c r="C105" t="s">
        <v>1607</v>
      </c>
    </row>
    <row r="106" spans="2:3" x14ac:dyDescent="0.4">
      <c r="B106" s="1" t="s">
        <v>1608</v>
      </c>
      <c r="C106" t="s">
        <v>1609</v>
      </c>
    </row>
    <row r="107" spans="2:3" x14ac:dyDescent="0.4">
      <c r="B107" s="1" t="s">
        <v>1890</v>
      </c>
      <c r="C107" t="s">
        <v>1610</v>
      </c>
    </row>
    <row r="108" spans="2:3" x14ac:dyDescent="0.4">
      <c r="B108" s="1" t="s">
        <v>1891</v>
      </c>
      <c r="C108" t="s">
        <v>1611</v>
      </c>
    </row>
    <row r="109" spans="2:3" x14ac:dyDescent="0.4">
      <c r="B109" s="1" t="s">
        <v>1892</v>
      </c>
      <c r="C109" t="s">
        <v>1612</v>
      </c>
    </row>
    <row r="110" spans="2:3" x14ac:dyDescent="0.4">
      <c r="B110" s="1" t="s">
        <v>1613</v>
      </c>
      <c r="C110" t="s">
        <v>1614</v>
      </c>
    </row>
    <row r="111" spans="2:3" x14ac:dyDescent="0.4">
      <c r="B111" s="1" t="s">
        <v>1893</v>
      </c>
      <c r="C111" t="s">
        <v>1615</v>
      </c>
    </row>
    <row r="112" spans="2:3" x14ac:dyDescent="0.4">
      <c r="B112" s="1" t="s">
        <v>1616</v>
      </c>
      <c r="C112" t="s">
        <v>1617</v>
      </c>
    </row>
    <row r="113" spans="2:3" x14ac:dyDescent="0.4">
      <c r="B113" s="1" t="s">
        <v>1894</v>
      </c>
      <c r="C113" t="s">
        <v>1618</v>
      </c>
    </row>
    <row r="114" spans="2:3" x14ac:dyDescent="0.4">
      <c r="B114" s="1" t="s">
        <v>1895</v>
      </c>
      <c r="C114" t="s">
        <v>1619</v>
      </c>
    </row>
    <row r="115" spans="2:3" x14ac:dyDescent="0.4">
      <c r="B115" s="1" t="s">
        <v>1896</v>
      </c>
      <c r="C115" t="s">
        <v>1620</v>
      </c>
    </row>
    <row r="116" spans="2:3" x14ac:dyDescent="0.4">
      <c r="B116" s="1" t="s">
        <v>503</v>
      </c>
      <c r="C116" t="s">
        <v>1621</v>
      </c>
    </row>
    <row r="117" spans="2:3" x14ac:dyDescent="0.4">
      <c r="B117" s="1" t="s">
        <v>1897</v>
      </c>
      <c r="C117" t="s">
        <v>1622</v>
      </c>
    </row>
    <row r="118" spans="2:3" x14ac:dyDescent="0.4">
      <c r="B118" s="1" t="s">
        <v>1623</v>
      </c>
      <c r="C118" t="s">
        <v>1624</v>
      </c>
    </row>
    <row r="119" spans="2:3" x14ac:dyDescent="0.4">
      <c r="B119" s="1" t="s">
        <v>1147</v>
      </c>
      <c r="C119" t="s">
        <v>1625</v>
      </c>
    </row>
    <row r="120" spans="2:3" x14ac:dyDescent="0.4">
      <c r="B120" s="1" t="s">
        <v>1626</v>
      </c>
      <c r="C120" t="s">
        <v>1627</v>
      </c>
    </row>
    <row r="121" spans="2:3" x14ac:dyDescent="0.4">
      <c r="B121" s="1" t="s">
        <v>1898</v>
      </c>
      <c r="C121" t="s">
        <v>1628</v>
      </c>
    </row>
    <row r="122" spans="2:3" x14ac:dyDescent="0.4">
      <c r="B122" s="1" t="s">
        <v>1899</v>
      </c>
      <c r="C122" t="s">
        <v>1629</v>
      </c>
    </row>
    <row r="123" spans="2:3" x14ac:dyDescent="0.4">
      <c r="B123" s="1" t="s">
        <v>2757</v>
      </c>
      <c r="C123" t="s">
        <v>1630</v>
      </c>
    </row>
    <row r="124" spans="2:3" x14ac:dyDescent="0.4">
      <c r="B124" s="1" t="s">
        <v>1900</v>
      </c>
      <c r="C124" t="s">
        <v>1631</v>
      </c>
    </row>
    <row r="125" spans="2:3" x14ac:dyDescent="0.4">
      <c r="B125" s="1" t="s">
        <v>1632</v>
      </c>
      <c r="C125" t="s">
        <v>1633</v>
      </c>
    </row>
    <row r="126" spans="2:3" x14ac:dyDescent="0.4">
      <c r="B126" s="1" t="s">
        <v>1634</v>
      </c>
      <c r="C126" t="s">
        <v>1635</v>
      </c>
    </row>
    <row r="127" spans="2:3" x14ac:dyDescent="0.4">
      <c r="B127" s="1" t="s">
        <v>2745</v>
      </c>
      <c r="C127" t="s">
        <v>1636</v>
      </c>
    </row>
    <row r="128" spans="2:3" x14ac:dyDescent="0.4">
      <c r="B128" s="1" t="s">
        <v>1901</v>
      </c>
      <c r="C128" t="s">
        <v>1637</v>
      </c>
    </row>
    <row r="129" spans="2:5" x14ac:dyDescent="0.4">
      <c r="B129" s="1" t="s">
        <v>1638</v>
      </c>
      <c r="C129" t="s">
        <v>1639</v>
      </c>
    </row>
    <row r="130" spans="2:5" x14ac:dyDescent="0.4">
      <c r="B130" s="1" t="s">
        <v>1640</v>
      </c>
      <c r="C130" t="s">
        <v>81</v>
      </c>
    </row>
    <row r="131" spans="2:5" x14ac:dyDescent="0.4">
      <c r="B131" s="1" t="s">
        <v>1902</v>
      </c>
      <c r="C131" t="s">
        <v>1641</v>
      </c>
    </row>
    <row r="132" spans="2:5" x14ac:dyDescent="0.4">
      <c r="B132" s="1" t="s">
        <v>73</v>
      </c>
      <c r="C132" t="s">
        <v>1642</v>
      </c>
    </row>
    <row r="133" spans="2:5" x14ac:dyDescent="0.4">
      <c r="B133" s="1" t="s">
        <v>1903</v>
      </c>
      <c r="C133" t="s">
        <v>1643</v>
      </c>
    </row>
    <row r="134" spans="2:5" x14ac:dyDescent="0.4">
      <c r="B134" s="1" t="s">
        <v>1904</v>
      </c>
      <c r="C134" t="s">
        <v>1644</v>
      </c>
    </row>
    <row r="135" spans="2:5" x14ac:dyDescent="0.4">
      <c r="B135" s="1" t="s">
        <v>2703</v>
      </c>
      <c r="C135" s="55" t="s">
        <v>2712</v>
      </c>
      <c r="D135" s="33" t="s">
        <v>2713</v>
      </c>
      <c r="E135" s="34" t="s">
        <v>2714</v>
      </c>
    </row>
    <row r="136" spans="2:5" x14ac:dyDescent="0.4">
      <c r="B136" s="1" t="s">
        <v>1905</v>
      </c>
      <c r="C136" t="s">
        <v>1645</v>
      </c>
    </row>
    <row r="137" spans="2:5" x14ac:dyDescent="0.4">
      <c r="B137" s="1" t="s">
        <v>1646</v>
      </c>
      <c r="C137" t="s">
        <v>1647</v>
      </c>
    </row>
    <row r="138" spans="2:5" x14ac:dyDescent="0.4">
      <c r="B138" s="1" t="s">
        <v>1648</v>
      </c>
      <c r="C138" t="s">
        <v>1649</v>
      </c>
    </row>
    <row r="139" spans="2:5" x14ac:dyDescent="0.4">
      <c r="B139" s="1" t="s">
        <v>1650</v>
      </c>
      <c r="C139" t="s">
        <v>1651</v>
      </c>
    </row>
    <row r="140" spans="2:5" x14ac:dyDescent="0.4">
      <c r="B140" s="1" t="s">
        <v>1652</v>
      </c>
      <c r="C140" t="s">
        <v>1653</v>
      </c>
    </row>
    <row r="141" spans="2:5" x14ac:dyDescent="0.4">
      <c r="B141" s="1" t="s">
        <v>1654</v>
      </c>
      <c r="C141" t="s">
        <v>1655</v>
      </c>
    </row>
    <row r="142" spans="2:5" x14ac:dyDescent="0.4">
      <c r="B142" s="1" t="s">
        <v>1906</v>
      </c>
      <c r="C142" t="s">
        <v>1656</v>
      </c>
    </row>
    <row r="143" spans="2:5" x14ac:dyDescent="0.4">
      <c r="B143" s="1" t="s">
        <v>1366</v>
      </c>
      <c r="C143" t="s">
        <v>1657</v>
      </c>
    </row>
    <row r="144" spans="2:5" x14ac:dyDescent="0.4">
      <c r="B144" s="1" t="s">
        <v>1658</v>
      </c>
      <c r="C144" t="s">
        <v>1659</v>
      </c>
    </row>
    <row r="145" spans="2:7" x14ac:dyDescent="0.4">
      <c r="B145" s="1" t="s">
        <v>1660</v>
      </c>
      <c r="C145" t="s">
        <v>1661</v>
      </c>
    </row>
    <row r="146" spans="2:7" x14ac:dyDescent="0.4">
      <c r="B146" s="1" t="s">
        <v>1662</v>
      </c>
      <c r="C146" t="s">
        <v>1663</v>
      </c>
    </row>
    <row r="147" spans="2:7" x14ac:dyDescent="0.4">
      <c r="B147" s="1" t="s">
        <v>1664</v>
      </c>
      <c r="C147" t="s">
        <v>1665</v>
      </c>
    </row>
    <row r="148" spans="2:7" x14ac:dyDescent="0.4">
      <c r="B148" s="1" t="s">
        <v>1666</v>
      </c>
      <c r="C148" t="s">
        <v>1667</v>
      </c>
    </row>
    <row r="149" spans="2:7" x14ac:dyDescent="0.4">
      <c r="B149" s="1" t="s">
        <v>1907</v>
      </c>
      <c r="C149" t="s">
        <v>1668</v>
      </c>
    </row>
    <row r="150" spans="2:7" x14ac:dyDescent="0.4">
      <c r="B150" s="1" t="s">
        <v>1669</v>
      </c>
      <c r="C150" t="s">
        <v>1670</v>
      </c>
    </row>
    <row r="151" spans="2:7" x14ac:dyDescent="0.4">
      <c r="B151" s="1" t="s">
        <v>1671</v>
      </c>
      <c r="C151" t="s">
        <v>1672</v>
      </c>
    </row>
    <row r="152" spans="2:7" x14ac:dyDescent="0.4">
      <c r="B152" s="1" t="s">
        <v>1908</v>
      </c>
      <c r="C152" t="s">
        <v>1673</v>
      </c>
    </row>
    <row r="153" spans="2:7" x14ac:dyDescent="0.4">
      <c r="B153" s="1" t="s">
        <v>1909</v>
      </c>
      <c r="C153" t="s">
        <v>1674</v>
      </c>
    </row>
    <row r="154" spans="2:7" x14ac:dyDescent="0.4">
      <c r="B154" s="1" t="s">
        <v>1675</v>
      </c>
      <c r="C154" t="s">
        <v>1676</v>
      </c>
    </row>
    <row r="155" spans="2:7" x14ac:dyDescent="0.4">
      <c r="B155" s="1" t="s">
        <v>2758</v>
      </c>
      <c r="C155" t="s">
        <v>1433</v>
      </c>
    </row>
    <row r="156" spans="2:7" x14ac:dyDescent="0.4">
      <c r="B156" s="1" t="s">
        <v>1677</v>
      </c>
      <c r="C156" t="s">
        <v>1678</v>
      </c>
    </row>
    <row r="157" spans="2:7" x14ac:dyDescent="0.4">
      <c r="B157" s="1" t="s">
        <v>1910</v>
      </c>
      <c r="C157" t="s">
        <v>1679</v>
      </c>
    </row>
    <row r="158" spans="2:7" x14ac:dyDescent="0.4">
      <c r="B158" s="1" t="s">
        <v>1680</v>
      </c>
      <c r="C158" t="s">
        <v>1681</v>
      </c>
    </row>
    <row r="159" spans="2:7" x14ac:dyDescent="0.4">
      <c r="B159" s="1" t="s">
        <v>1682</v>
      </c>
      <c r="C159" t="s">
        <v>1683</v>
      </c>
      <c r="D159" s="33" t="s">
        <v>2023</v>
      </c>
      <c r="E159" s="34" t="s">
        <v>2065</v>
      </c>
      <c r="F159" s="34" t="s">
        <v>2094</v>
      </c>
      <c r="G159" s="34" t="s">
        <v>2064</v>
      </c>
    </row>
    <row r="160" spans="2:7" x14ac:dyDescent="0.4">
      <c r="B160" s="1" t="s">
        <v>1684</v>
      </c>
      <c r="C160" t="s">
        <v>1987</v>
      </c>
    </row>
    <row r="161" spans="2:6" x14ac:dyDescent="0.4">
      <c r="B161" s="1" t="s">
        <v>1685</v>
      </c>
      <c r="C161" t="s">
        <v>2009</v>
      </c>
    </row>
    <row r="162" spans="2:6" x14ac:dyDescent="0.4">
      <c r="B162" s="1" t="s">
        <v>1911</v>
      </c>
      <c r="C162" t="s">
        <v>1686</v>
      </c>
    </row>
    <row r="163" spans="2:6" x14ac:dyDescent="0.4">
      <c r="B163" s="1" t="s">
        <v>1687</v>
      </c>
      <c r="C163" t="s">
        <v>1688</v>
      </c>
      <c r="D163" s="33" t="s">
        <v>2063</v>
      </c>
      <c r="E163" s="34" t="s">
        <v>2485</v>
      </c>
    </row>
    <row r="164" spans="2:6" x14ac:dyDescent="0.4">
      <c r="B164" s="1" t="s">
        <v>1689</v>
      </c>
      <c r="C164" t="s">
        <v>2579</v>
      </c>
      <c r="D164" s="33" t="s">
        <v>2543</v>
      </c>
      <c r="E164" s="34" t="s">
        <v>2067</v>
      </c>
      <c r="F164" s="32" t="s">
        <v>2542</v>
      </c>
    </row>
    <row r="165" spans="2:6" x14ac:dyDescent="0.4">
      <c r="B165" s="1" t="s">
        <v>1912</v>
      </c>
      <c r="C165" t="s">
        <v>1690</v>
      </c>
    </row>
    <row r="166" spans="2:6" x14ac:dyDescent="0.4">
      <c r="B166" s="1" t="s">
        <v>1691</v>
      </c>
      <c r="C166" t="s">
        <v>1692</v>
      </c>
    </row>
    <row r="167" spans="2:6" x14ac:dyDescent="0.4">
      <c r="B167" s="1" t="s">
        <v>1913</v>
      </c>
      <c r="C167" t="s">
        <v>1693</v>
      </c>
    </row>
    <row r="168" spans="2:6" x14ac:dyDescent="0.4">
      <c r="B168" s="1" t="s">
        <v>1694</v>
      </c>
      <c r="C168" t="s">
        <v>1695</v>
      </c>
    </row>
    <row r="169" spans="2:6" x14ac:dyDescent="0.4">
      <c r="B169" s="1" t="s">
        <v>1696</v>
      </c>
      <c r="C169" t="s">
        <v>1697</v>
      </c>
    </row>
    <row r="170" spans="2:6" x14ac:dyDescent="0.4">
      <c r="B170" s="1" t="s">
        <v>1698</v>
      </c>
      <c r="C170" t="s">
        <v>1699</v>
      </c>
    </row>
    <row r="171" spans="2:6" x14ac:dyDescent="0.4">
      <c r="B171" s="1" t="s">
        <v>1700</v>
      </c>
      <c r="C171" t="s">
        <v>1701</v>
      </c>
    </row>
    <row r="172" spans="2:6" x14ac:dyDescent="0.4">
      <c r="B172" s="1" t="s">
        <v>1702</v>
      </c>
      <c r="C172" t="s">
        <v>72</v>
      </c>
    </row>
    <row r="173" spans="2:6" x14ac:dyDescent="0.4">
      <c r="B173" s="1" t="s">
        <v>1914</v>
      </c>
      <c r="C173" t="s">
        <v>1703</v>
      </c>
    </row>
    <row r="174" spans="2:6" x14ac:dyDescent="0.4">
      <c r="B174" s="1" t="s">
        <v>1704</v>
      </c>
      <c r="C174" t="s">
        <v>1970</v>
      </c>
    </row>
    <row r="175" spans="2:6" x14ac:dyDescent="0.4">
      <c r="B175" s="1" t="s">
        <v>1705</v>
      </c>
      <c r="C175" t="s">
        <v>1706</v>
      </c>
    </row>
    <row r="176" spans="2:6" x14ac:dyDescent="0.4">
      <c r="B176" s="1" t="s">
        <v>1707</v>
      </c>
      <c r="C176" t="s">
        <v>856</v>
      </c>
    </row>
    <row r="177" spans="2:7" x14ac:dyDescent="0.4">
      <c r="B177" s="1" t="s">
        <v>1708</v>
      </c>
      <c r="C177" t="s">
        <v>1988</v>
      </c>
    </row>
    <row r="178" spans="2:7" x14ac:dyDescent="0.4">
      <c r="B178" s="1" t="s">
        <v>1915</v>
      </c>
      <c r="C178" t="s">
        <v>1709</v>
      </c>
    </row>
    <row r="179" spans="2:7" x14ac:dyDescent="0.4">
      <c r="B179" s="1" t="s">
        <v>1710</v>
      </c>
      <c r="C179" t="s">
        <v>1711</v>
      </c>
    </row>
    <row r="180" spans="2:7" x14ac:dyDescent="0.4">
      <c r="B180" s="1" t="s">
        <v>1712</v>
      </c>
      <c r="C180" t="s">
        <v>1713</v>
      </c>
      <c r="D180" s="33" t="s">
        <v>2040</v>
      </c>
      <c r="E180" s="34" t="s">
        <v>2064</v>
      </c>
      <c r="F180" s="32" t="s">
        <v>2092</v>
      </c>
    </row>
    <row r="181" spans="2:7" x14ac:dyDescent="0.4">
      <c r="B181" s="1" t="s">
        <v>1714</v>
      </c>
      <c r="C181" t="s">
        <v>757</v>
      </c>
      <c r="D181" s="33" t="s">
        <v>2710</v>
      </c>
      <c r="E181" s="34" t="s">
        <v>2094</v>
      </c>
      <c r="F181" s="32" t="s">
        <v>2092</v>
      </c>
      <c r="G181" s="34" t="s">
        <v>2702</v>
      </c>
    </row>
    <row r="182" spans="2:7" x14ac:dyDescent="0.4">
      <c r="B182" s="1" t="s">
        <v>1715</v>
      </c>
      <c r="C182" t="s">
        <v>1716</v>
      </c>
    </row>
    <row r="183" spans="2:7" x14ac:dyDescent="0.4">
      <c r="B183" s="1" t="s">
        <v>1916</v>
      </c>
      <c r="C183" t="s">
        <v>1717</v>
      </c>
    </row>
    <row r="184" spans="2:7" x14ac:dyDescent="0.4">
      <c r="B184" s="1" t="s">
        <v>1917</v>
      </c>
      <c r="C184" t="s">
        <v>2111</v>
      </c>
      <c r="D184" s="33" t="s">
        <v>2110</v>
      </c>
      <c r="E184" s="34" t="s">
        <v>2094</v>
      </c>
      <c r="F184" s="34" t="s">
        <v>2086</v>
      </c>
    </row>
    <row r="185" spans="2:7" x14ac:dyDescent="0.4">
      <c r="B185" s="1" t="s">
        <v>1918</v>
      </c>
      <c r="C185" t="s">
        <v>1718</v>
      </c>
      <c r="D185" s="33" t="s">
        <v>2109</v>
      </c>
      <c r="E185" s="34" t="s">
        <v>2094</v>
      </c>
      <c r="F185" s="34" t="s">
        <v>2084</v>
      </c>
      <c r="G185" s="34" t="s">
        <v>2469</v>
      </c>
    </row>
    <row r="186" spans="2:7" x14ac:dyDescent="0.4">
      <c r="B186" s="1" t="s">
        <v>1719</v>
      </c>
      <c r="C186" t="s">
        <v>1720</v>
      </c>
    </row>
    <row r="187" spans="2:7" x14ac:dyDescent="0.4">
      <c r="B187" s="1" t="s">
        <v>1721</v>
      </c>
      <c r="C187" t="s">
        <v>1967</v>
      </c>
    </row>
    <row r="188" spans="2:7" x14ac:dyDescent="0.4">
      <c r="B188" s="1" t="s">
        <v>1722</v>
      </c>
      <c r="C188" t="s">
        <v>1723</v>
      </c>
    </row>
    <row r="189" spans="2:7" x14ac:dyDescent="0.4">
      <c r="B189" s="1" t="s">
        <v>1724</v>
      </c>
      <c r="C189" t="s">
        <v>1725</v>
      </c>
      <c r="D189" s="33" t="s">
        <v>2034</v>
      </c>
      <c r="E189" s="34" t="s">
        <v>2068</v>
      </c>
    </row>
    <row r="190" spans="2:7" x14ac:dyDescent="0.4">
      <c r="B190" s="1" t="s">
        <v>1726</v>
      </c>
      <c r="C190" t="s">
        <v>1727</v>
      </c>
    </row>
    <row r="191" spans="2:7" x14ac:dyDescent="0.4">
      <c r="B191" s="1" t="s">
        <v>1728</v>
      </c>
      <c r="C191" t="s">
        <v>1729</v>
      </c>
    </row>
    <row r="192" spans="2:7" x14ac:dyDescent="0.4">
      <c r="B192" s="1" t="s">
        <v>1919</v>
      </c>
      <c r="C192" t="s">
        <v>1730</v>
      </c>
    </row>
    <row r="193" spans="2:9" x14ac:dyDescent="0.4">
      <c r="B193" s="1" t="s">
        <v>1920</v>
      </c>
      <c r="C193" t="s">
        <v>1731</v>
      </c>
      <c r="E193" s="34" t="s">
        <v>2069</v>
      </c>
    </row>
    <row r="194" spans="2:9" x14ac:dyDescent="0.4">
      <c r="B194" s="1" t="s">
        <v>1732</v>
      </c>
      <c r="C194" t="s">
        <v>1966</v>
      </c>
      <c r="D194" s="33" t="s">
        <v>2564</v>
      </c>
      <c r="E194" s="34" t="s">
        <v>2094</v>
      </c>
      <c r="F194" s="32" t="s">
        <v>2090</v>
      </c>
      <c r="G194" s="32" t="s">
        <v>2091</v>
      </c>
      <c r="H194" s="32" t="s">
        <v>2544</v>
      </c>
      <c r="I194" s="34" t="s">
        <v>2069</v>
      </c>
    </row>
    <row r="195" spans="2:9" x14ac:dyDescent="0.4">
      <c r="B195" s="1" t="s">
        <v>1733</v>
      </c>
      <c r="C195" t="s">
        <v>1734</v>
      </c>
      <c r="D195" s="33" t="s">
        <v>2030</v>
      </c>
      <c r="E195" s="34" t="s">
        <v>2094</v>
      </c>
      <c r="F195" s="32" t="s">
        <v>2090</v>
      </c>
      <c r="G195" s="32" t="s">
        <v>2091</v>
      </c>
    </row>
    <row r="196" spans="2:9" x14ac:dyDescent="0.4">
      <c r="B196" s="1" t="s">
        <v>1735</v>
      </c>
      <c r="C196" t="s">
        <v>1736</v>
      </c>
      <c r="D196" s="33" t="s">
        <v>2058</v>
      </c>
      <c r="E196" s="34" t="s">
        <v>2087</v>
      </c>
    </row>
    <row r="197" spans="2:9" x14ac:dyDescent="0.4">
      <c r="B197" s="1" t="s">
        <v>1737</v>
      </c>
      <c r="C197" t="s">
        <v>1738</v>
      </c>
    </row>
    <row r="198" spans="2:9" x14ac:dyDescent="0.4">
      <c r="B198" s="1" t="s">
        <v>1921</v>
      </c>
      <c r="C198" t="s">
        <v>2115</v>
      </c>
      <c r="D198" s="33" t="s">
        <v>2106</v>
      </c>
      <c r="E198" s="34" t="s">
        <v>2088</v>
      </c>
      <c r="F198" s="34" t="s">
        <v>2095</v>
      </c>
    </row>
    <row r="199" spans="2:9" x14ac:dyDescent="0.4">
      <c r="B199" s="1" t="s">
        <v>1739</v>
      </c>
      <c r="C199" t="s">
        <v>2116</v>
      </c>
    </row>
    <row r="200" spans="2:9" x14ac:dyDescent="0.4">
      <c r="B200" s="1" t="s">
        <v>1922</v>
      </c>
      <c r="C200" t="s">
        <v>1740</v>
      </c>
      <c r="D200" s="33" t="s">
        <v>2059</v>
      </c>
      <c r="E200" s="34" t="s">
        <v>2087</v>
      </c>
      <c r="F200" s="32" t="s">
        <v>2089</v>
      </c>
    </row>
    <row r="201" spans="2:9" x14ac:dyDescent="0.4">
      <c r="B201" s="1" t="s">
        <v>1741</v>
      </c>
      <c r="C201" t="s">
        <v>1742</v>
      </c>
    </row>
    <row r="202" spans="2:9" x14ac:dyDescent="0.4">
      <c r="B202" s="1" t="s">
        <v>1923</v>
      </c>
      <c r="C202" t="s">
        <v>1743</v>
      </c>
    </row>
    <row r="203" spans="2:9" x14ac:dyDescent="0.4">
      <c r="B203" s="1" t="s">
        <v>1744</v>
      </c>
      <c r="C203" t="s">
        <v>1745</v>
      </c>
    </row>
    <row r="204" spans="2:9" x14ac:dyDescent="0.4">
      <c r="B204" s="1" t="s">
        <v>1746</v>
      </c>
      <c r="C204" t="s">
        <v>1747</v>
      </c>
    </row>
    <row r="205" spans="2:9" x14ac:dyDescent="0.4">
      <c r="B205" s="1" t="s">
        <v>1748</v>
      </c>
      <c r="C205" t="s">
        <v>1749</v>
      </c>
    </row>
    <row r="206" spans="2:9" x14ac:dyDescent="0.4">
      <c r="B206" s="1" t="s">
        <v>1924</v>
      </c>
      <c r="C206" t="s">
        <v>1750</v>
      </c>
      <c r="D206" s="33" t="s">
        <v>2022</v>
      </c>
      <c r="E206" s="34" t="s">
        <v>2071</v>
      </c>
      <c r="F206" s="34" t="s">
        <v>2094</v>
      </c>
      <c r="G206" s="34" t="s">
        <v>2064</v>
      </c>
    </row>
    <row r="207" spans="2:9" x14ac:dyDescent="0.4">
      <c r="B207" s="1" t="s">
        <v>1925</v>
      </c>
      <c r="C207" t="s">
        <v>1751</v>
      </c>
    </row>
    <row r="208" spans="2:9" x14ac:dyDescent="0.4">
      <c r="B208" s="1" t="s">
        <v>1752</v>
      </c>
      <c r="C208" t="s">
        <v>1753</v>
      </c>
    </row>
    <row r="209" spans="2:6" x14ac:dyDescent="0.4">
      <c r="B209" s="1" t="s">
        <v>856</v>
      </c>
      <c r="C209" t="s">
        <v>1754</v>
      </c>
      <c r="D209" s="33" t="s">
        <v>2036</v>
      </c>
      <c r="E209" s="34" t="s">
        <v>2086</v>
      </c>
    </row>
    <row r="210" spans="2:6" x14ac:dyDescent="0.4">
      <c r="B210" s="1" t="s">
        <v>1755</v>
      </c>
      <c r="C210" t="s">
        <v>1756</v>
      </c>
    </row>
    <row r="211" spans="2:6" x14ac:dyDescent="0.4">
      <c r="B211" s="1" t="s">
        <v>1070</v>
      </c>
      <c r="C211" t="s">
        <v>1757</v>
      </c>
    </row>
    <row r="212" spans="2:6" x14ac:dyDescent="0.4">
      <c r="B212" s="1" t="s">
        <v>1926</v>
      </c>
      <c r="C212" t="s">
        <v>1758</v>
      </c>
    </row>
    <row r="213" spans="2:6" x14ac:dyDescent="0.4">
      <c r="B213" s="1" t="s">
        <v>1759</v>
      </c>
      <c r="C213" t="s">
        <v>1760</v>
      </c>
      <c r="D213" s="33" t="s">
        <v>2107</v>
      </c>
      <c r="E213" s="34" t="s">
        <v>2068</v>
      </c>
      <c r="F213" s="34" t="s">
        <v>2064</v>
      </c>
    </row>
    <row r="214" spans="2:6" x14ac:dyDescent="0.4">
      <c r="B214" s="1" t="s">
        <v>1761</v>
      </c>
      <c r="C214" t="s">
        <v>1762</v>
      </c>
    </row>
    <row r="215" spans="2:6" x14ac:dyDescent="0.4">
      <c r="B215" s="1" t="s">
        <v>1763</v>
      </c>
      <c r="C215" t="s">
        <v>1764</v>
      </c>
    </row>
    <row r="216" spans="2:6" x14ac:dyDescent="0.4">
      <c r="B216" s="1" t="s">
        <v>1927</v>
      </c>
      <c r="C216" t="s">
        <v>1978</v>
      </c>
    </row>
    <row r="217" spans="2:6" x14ac:dyDescent="0.4">
      <c r="B217" s="1" t="s">
        <v>1076</v>
      </c>
      <c r="C217" t="s">
        <v>2584</v>
      </c>
      <c r="D217" s="33" t="s">
        <v>2540</v>
      </c>
      <c r="E217" s="34" t="s">
        <v>2093</v>
      </c>
      <c r="F217" s="32" t="s">
        <v>2535</v>
      </c>
    </row>
    <row r="218" spans="2:6" x14ac:dyDescent="0.4">
      <c r="B218" s="1" t="s">
        <v>1765</v>
      </c>
      <c r="C218" t="s">
        <v>1766</v>
      </c>
    </row>
    <row r="219" spans="2:6" x14ac:dyDescent="0.4">
      <c r="B219" s="1" t="s">
        <v>1141</v>
      </c>
      <c r="C219" t="s">
        <v>1767</v>
      </c>
    </row>
    <row r="220" spans="2:6" x14ac:dyDescent="0.4">
      <c r="B220" s="1" t="s">
        <v>1928</v>
      </c>
      <c r="C220" t="s">
        <v>1768</v>
      </c>
      <c r="D220" s="33" t="s">
        <v>2021</v>
      </c>
      <c r="E220" s="34" t="s">
        <v>2079</v>
      </c>
    </row>
    <row r="221" spans="2:6" x14ac:dyDescent="0.4">
      <c r="B221" s="1" t="s">
        <v>1929</v>
      </c>
      <c r="C221" t="s">
        <v>1769</v>
      </c>
    </row>
    <row r="222" spans="2:6" x14ac:dyDescent="0.4">
      <c r="B222" s="1" t="s">
        <v>1770</v>
      </c>
      <c r="C222" t="s">
        <v>1771</v>
      </c>
    </row>
    <row r="223" spans="2:6" x14ac:dyDescent="0.4">
      <c r="B223" s="1" t="s">
        <v>1930</v>
      </c>
      <c r="C223" t="s">
        <v>1772</v>
      </c>
    </row>
    <row r="224" spans="2:6" x14ac:dyDescent="0.4">
      <c r="B224" s="1" t="s">
        <v>1773</v>
      </c>
      <c r="C224" t="s">
        <v>1979</v>
      </c>
    </row>
    <row r="225" spans="2:6" x14ac:dyDescent="0.4">
      <c r="B225" s="1" t="s">
        <v>1774</v>
      </c>
      <c r="C225" t="s">
        <v>1775</v>
      </c>
    </row>
    <row r="226" spans="2:6" x14ac:dyDescent="0.4">
      <c r="B226" s="1" t="s">
        <v>1776</v>
      </c>
      <c r="C226" t="s">
        <v>1991</v>
      </c>
    </row>
    <row r="227" spans="2:6" x14ac:dyDescent="0.4">
      <c r="B227" s="1" t="s">
        <v>1777</v>
      </c>
      <c r="C227" t="s">
        <v>1778</v>
      </c>
    </row>
    <row r="228" spans="2:6" x14ac:dyDescent="0.4">
      <c r="B228" s="1" t="s">
        <v>1779</v>
      </c>
      <c r="C228" t="s">
        <v>1780</v>
      </c>
    </row>
    <row r="229" spans="2:6" x14ac:dyDescent="0.4">
      <c r="B229" s="1" t="s">
        <v>1781</v>
      </c>
      <c r="C229" t="s">
        <v>430</v>
      </c>
    </row>
    <row r="230" spans="2:6" x14ac:dyDescent="0.4">
      <c r="B230" s="1" t="s">
        <v>1782</v>
      </c>
      <c r="C230" t="s">
        <v>1986</v>
      </c>
    </row>
    <row r="231" spans="2:6" x14ac:dyDescent="0.4">
      <c r="B231" s="1" t="s">
        <v>1783</v>
      </c>
      <c r="C231" t="s">
        <v>1784</v>
      </c>
    </row>
    <row r="232" spans="2:6" x14ac:dyDescent="0.4">
      <c r="B232" s="1" t="s">
        <v>1785</v>
      </c>
      <c r="C232" t="s">
        <v>1786</v>
      </c>
      <c r="D232" s="33" t="s">
        <v>2043</v>
      </c>
      <c r="E232" s="34" t="s">
        <v>2078</v>
      </c>
    </row>
    <row r="233" spans="2:6" x14ac:dyDescent="0.4">
      <c r="B233" s="1" t="s">
        <v>1931</v>
      </c>
      <c r="C233" t="s">
        <v>2547</v>
      </c>
      <c r="D233" s="33" t="s">
        <v>2548</v>
      </c>
      <c r="E233" s="34" t="s">
        <v>2080</v>
      </c>
      <c r="F233" s="32" t="s">
        <v>2549</v>
      </c>
    </row>
    <row r="234" spans="2:6" x14ac:dyDescent="0.4">
      <c r="B234" s="1" t="s">
        <v>1787</v>
      </c>
      <c r="C234" t="s">
        <v>2001</v>
      </c>
    </row>
    <row r="235" spans="2:6" x14ac:dyDescent="0.4">
      <c r="B235" s="1" t="s">
        <v>1788</v>
      </c>
      <c r="C235" t="s">
        <v>1789</v>
      </c>
    </row>
    <row r="236" spans="2:6" x14ac:dyDescent="0.4">
      <c r="B236" s="1" t="s">
        <v>1790</v>
      </c>
      <c r="C236" t="s">
        <v>1791</v>
      </c>
    </row>
    <row r="237" spans="2:6" x14ac:dyDescent="0.4">
      <c r="B237" s="1" t="s">
        <v>1932</v>
      </c>
      <c r="C237" t="s">
        <v>1792</v>
      </c>
    </row>
    <row r="238" spans="2:6" x14ac:dyDescent="0.4">
      <c r="B238" s="1" t="s">
        <v>1793</v>
      </c>
      <c r="C238" t="s">
        <v>1794</v>
      </c>
      <c r="D238" s="33" t="s">
        <v>2096</v>
      </c>
      <c r="E238" s="34" t="s">
        <v>2066</v>
      </c>
    </row>
    <row r="239" spans="2:6" x14ac:dyDescent="0.4">
      <c r="B239" s="1" t="s">
        <v>1795</v>
      </c>
      <c r="C239" t="s">
        <v>1796</v>
      </c>
    </row>
    <row r="240" spans="2:6" x14ac:dyDescent="0.4">
      <c r="B240" s="1" t="s">
        <v>1797</v>
      </c>
      <c r="C240" t="s">
        <v>1798</v>
      </c>
    </row>
    <row r="241" spans="2:6" x14ac:dyDescent="0.4">
      <c r="B241" s="1" t="s">
        <v>1933</v>
      </c>
      <c r="C241" t="s">
        <v>1799</v>
      </c>
      <c r="D241" s="33" t="s">
        <v>2024</v>
      </c>
      <c r="E241" s="34" t="s">
        <v>2065</v>
      </c>
    </row>
    <row r="242" spans="2:6" x14ac:dyDescent="0.4">
      <c r="B242" s="1" t="s">
        <v>1934</v>
      </c>
      <c r="C242" t="s">
        <v>1800</v>
      </c>
      <c r="D242" s="33" t="s">
        <v>2025</v>
      </c>
      <c r="E242" s="34" t="s">
        <v>2081</v>
      </c>
    </row>
    <row r="243" spans="2:6" x14ac:dyDescent="0.4">
      <c r="B243" s="1" t="s">
        <v>1801</v>
      </c>
      <c r="C243" t="s">
        <v>1302</v>
      </c>
      <c r="D243" s="33" t="s">
        <v>2046</v>
      </c>
      <c r="E243" s="34" t="s">
        <v>2082</v>
      </c>
      <c r="F243" s="34" t="s">
        <v>2088</v>
      </c>
    </row>
    <row r="244" spans="2:6" x14ac:dyDescent="0.4">
      <c r="B244" s="1" t="s">
        <v>1802</v>
      </c>
      <c r="C244" t="s">
        <v>1803</v>
      </c>
    </row>
    <row r="245" spans="2:6" x14ac:dyDescent="0.4">
      <c r="B245" s="1" t="s">
        <v>1804</v>
      </c>
      <c r="C245" t="s">
        <v>1805</v>
      </c>
      <c r="D245" s="33" t="s">
        <v>2047</v>
      </c>
      <c r="E245" s="34" t="s">
        <v>2083</v>
      </c>
    </row>
    <row r="246" spans="2:6" x14ac:dyDescent="0.4">
      <c r="B246" s="1" t="s">
        <v>1935</v>
      </c>
      <c r="C246" t="s">
        <v>1806</v>
      </c>
      <c r="D246" s="33" t="s">
        <v>2045</v>
      </c>
      <c r="E246" s="34" t="s">
        <v>2082</v>
      </c>
    </row>
    <row r="247" spans="2:6" x14ac:dyDescent="0.4">
      <c r="B247" s="1" t="s">
        <v>1936</v>
      </c>
      <c r="C247" t="s">
        <v>1807</v>
      </c>
      <c r="D247" s="33" t="s">
        <v>2033</v>
      </c>
      <c r="E247" s="34" t="s">
        <v>2068</v>
      </c>
    </row>
    <row r="248" spans="2:6" x14ac:dyDescent="0.4">
      <c r="B248" s="1" t="s">
        <v>1808</v>
      </c>
      <c r="C248" t="s">
        <v>2000</v>
      </c>
    </row>
    <row r="249" spans="2:6" x14ac:dyDescent="0.4">
      <c r="B249" s="1" t="s">
        <v>1937</v>
      </c>
      <c r="C249" t="s">
        <v>1989</v>
      </c>
    </row>
    <row r="250" spans="2:6" x14ac:dyDescent="0.4">
      <c r="B250" s="1" t="s">
        <v>1809</v>
      </c>
      <c r="C250" t="s">
        <v>1810</v>
      </c>
      <c r="D250" s="33" t="s">
        <v>2056</v>
      </c>
      <c r="E250" s="34" t="s">
        <v>2084</v>
      </c>
    </row>
    <row r="251" spans="2:6" x14ac:dyDescent="0.4">
      <c r="B251" s="1" t="s">
        <v>1938</v>
      </c>
      <c r="C251" t="s">
        <v>2698</v>
      </c>
      <c r="D251" s="33" t="s">
        <v>2711</v>
      </c>
      <c r="E251" s="34" t="s">
        <v>2084</v>
      </c>
      <c r="F251" s="34" t="s">
        <v>2702</v>
      </c>
    </row>
    <row r="252" spans="2:6" x14ac:dyDescent="0.4">
      <c r="B252" s="1" t="s">
        <v>1811</v>
      </c>
      <c r="C252" t="s">
        <v>461</v>
      </c>
    </row>
    <row r="253" spans="2:6" x14ac:dyDescent="0.4">
      <c r="B253" s="1" t="s">
        <v>1812</v>
      </c>
      <c r="C253" t="s">
        <v>1813</v>
      </c>
    </row>
    <row r="254" spans="2:6" x14ac:dyDescent="0.4">
      <c r="B254" s="1" t="s">
        <v>1814</v>
      </c>
      <c r="C254" t="s">
        <v>1815</v>
      </c>
      <c r="D254" s="33" t="s">
        <v>2038</v>
      </c>
      <c r="E254" s="34" t="s">
        <v>2064</v>
      </c>
    </row>
    <row r="255" spans="2:6" x14ac:dyDescent="0.4">
      <c r="B255" s="1" t="s">
        <v>1816</v>
      </c>
      <c r="C255" t="s">
        <v>1817</v>
      </c>
    </row>
    <row r="256" spans="2:6" x14ac:dyDescent="0.4">
      <c r="B256" s="1" t="s">
        <v>1818</v>
      </c>
      <c r="C256" t="s">
        <v>1819</v>
      </c>
    </row>
    <row r="257" spans="2:6" x14ac:dyDescent="0.4">
      <c r="B257" s="1" t="s">
        <v>1820</v>
      </c>
      <c r="C257" t="s">
        <v>1821</v>
      </c>
    </row>
    <row r="258" spans="2:6" x14ac:dyDescent="0.4">
      <c r="B258" s="1" t="s">
        <v>1939</v>
      </c>
      <c r="C258" t="s">
        <v>2546</v>
      </c>
      <c r="D258" s="33" t="s">
        <v>2545</v>
      </c>
      <c r="E258" s="34" t="s">
        <v>2064</v>
      </c>
      <c r="F258" s="32" t="s">
        <v>2544</v>
      </c>
    </row>
    <row r="259" spans="2:6" x14ac:dyDescent="0.4">
      <c r="B259" s="1" t="s">
        <v>1822</v>
      </c>
      <c r="C259" t="s">
        <v>1823</v>
      </c>
    </row>
    <row r="260" spans="2:6" x14ac:dyDescent="0.4">
      <c r="B260" s="1" t="s">
        <v>1940</v>
      </c>
      <c r="C260" t="s">
        <v>2571</v>
      </c>
      <c r="D260" s="33" t="s">
        <v>2541</v>
      </c>
      <c r="E260" s="34" t="s">
        <v>2064</v>
      </c>
      <c r="F260" s="32" t="s">
        <v>2535</v>
      </c>
    </row>
    <row r="261" spans="2:6" x14ac:dyDescent="0.4">
      <c r="B261" s="1" t="s">
        <v>1824</v>
      </c>
      <c r="C261" t="s">
        <v>416</v>
      </c>
      <c r="D261" s="33" t="s">
        <v>2108</v>
      </c>
      <c r="E261" s="34" t="s">
        <v>2086</v>
      </c>
      <c r="F261" s="32" t="s">
        <v>2517</v>
      </c>
    </row>
    <row r="262" spans="2:6" x14ac:dyDescent="0.4">
      <c r="B262" s="1" t="s">
        <v>1825</v>
      </c>
      <c r="C262" t="s">
        <v>2570</v>
      </c>
      <c r="D262" s="33" t="s">
        <v>2569</v>
      </c>
      <c r="E262" s="34" t="s">
        <v>2086</v>
      </c>
      <c r="F262" s="32" t="s">
        <v>2550</v>
      </c>
    </row>
    <row r="263" spans="2:6" x14ac:dyDescent="0.4">
      <c r="B263" s="1" t="s">
        <v>1826</v>
      </c>
      <c r="C263" t="s">
        <v>1827</v>
      </c>
      <c r="D263" s="33" t="s">
        <v>2057</v>
      </c>
      <c r="E263" s="34" t="s">
        <v>2084</v>
      </c>
    </row>
    <row r="264" spans="2:6" x14ac:dyDescent="0.4">
      <c r="B264" s="1" t="s">
        <v>2756</v>
      </c>
      <c r="C264" t="s">
        <v>1828</v>
      </c>
    </row>
    <row r="265" spans="2:6" x14ac:dyDescent="0.4">
      <c r="B265" s="1" t="s">
        <v>2752</v>
      </c>
      <c r="C265" t="s">
        <v>1829</v>
      </c>
    </row>
    <row r="266" spans="2:6" x14ac:dyDescent="0.4">
      <c r="B266" s="1" t="s">
        <v>1830</v>
      </c>
      <c r="C266" t="s">
        <v>1831</v>
      </c>
    </row>
    <row r="267" spans="2:6" x14ac:dyDescent="0.4">
      <c r="B267" s="1" t="s">
        <v>1832</v>
      </c>
      <c r="C267" t="s">
        <v>1833</v>
      </c>
    </row>
    <row r="268" spans="2:6" x14ac:dyDescent="0.4">
      <c r="B268" s="1" t="s">
        <v>1941</v>
      </c>
      <c r="C268" t="s">
        <v>1834</v>
      </c>
      <c r="D268" s="33" t="s">
        <v>2055</v>
      </c>
      <c r="E268" s="34" t="s">
        <v>2084</v>
      </c>
      <c r="F268" s="34" t="s">
        <v>2702</v>
      </c>
    </row>
    <row r="269" spans="2:6" x14ac:dyDescent="0.4">
      <c r="B269" s="1" t="s">
        <v>1835</v>
      </c>
      <c r="C269" t="s">
        <v>1965</v>
      </c>
    </row>
    <row r="270" spans="2:6" x14ac:dyDescent="0.4">
      <c r="B270" s="1" t="s">
        <v>1836</v>
      </c>
      <c r="C270" t="s">
        <v>1837</v>
      </c>
    </row>
    <row r="271" spans="2:6" x14ac:dyDescent="0.4">
      <c r="B271" s="1" t="s">
        <v>1838</v>
      </c>
      <c r="C271" t="s">
        <v>1839</v>
      </c>
    </row>
    <row r="272" spans="2:6" x14ac:dyDescent="0.4">
      <c r="B272" s="1" t="s">
        <v>1840</v>
      </c>
      <c r="C272" t="s">
        <v>1841</v>
      </c>
    </row>
    <row r="273" spans="2:6" x14ac:dyDescent="0.4">
      <c r="B273" s="1" t="s">
        <v>1842</v>
      </c>
      <c r="C273" t="s">
        <v>1843</v>
      </c>
    </row>
    <row r="274" spans="2:6" x14ac:dyDescent="0.4">
      <c r="B274" s="1" t="s">
        <v>1844</v>
      </c>
      <c r="C274" t="s">
        <v>1845</v>
      </c>
    </row>
    <row r="275" spans="2:6" x14ac:dyDescent="0.4">
      <c r="B275" s="1" t="s">
        <v>1846</v>
      </c>
      <c r="C275" t="s">
        <v>1847</v>
      </c>
    </row>
    <row r="276" spans="2:6" x14ac:dyDescent="0.4">
      <c r="B276" s="1" t="s">
        <v>429</v>
      </c>
      <c r="C276" t="s">
        <v>1848</v>
      </c>
    </row>
    <row r="277" spans="2:6" x14ac:dyDescent="0.4">
      <c r="B277" s="1" t="s">
        <v>1849</v>
      </c>
      <c r="C277" t="s">
        <v>1850</v>
      </c>
    </row>
    <row r="278" spans="2:6" x14ac:dyDescent="0.4">
      <c r="B278" s="1" t="s">
        <v>1851</v>
      </c>
      <c r="C278" t="s">
        <v>759</v>
      </c>
      <c r="D278" s="33" t="s">
        <v>2733</v>
      </c>
      <c r="E278" s="34" t="s">
        <v>2064</v>
      </c>
      <c r="F278" s="34" t="s">
        <v>2561</v>
      </c>
    </row>
    <row r="279" spans="2:6" x14ac:dyDescent="0.4">
      <c r="B279" s="1" t="s">
        <v>1852</v>
      </c>
      <c r="C279" t="s">
        <v>1853</v>
      </c>
      <c r="D279" s="33" t="s">
        <v>2026</v>
      </c>
      <c r="E279" s="42" t="s">
        <v>2437</v>
      </c>
    </row>
    <row r="280" spans="2:6" x14ac:dyDescent="0.4">
      <c r="B280" s="1" t="s">
        <v>1854</v>
      </c>
      <c r="C280" t="s">
        <v>1855</v>
      </c>
      <c r="D280" s="41" t="s">
        <v>2572</v>
      </c>
      <c r="E280" s="42" t="s">
        <v>2437</v>
      </c>
    </row>
    <row r="281" spans="2:6" x14ac:dyDescent="0.4">
      <c r="B281" s="1" t="s">
        <v>1856</v>
      </c>
      <c r="C281" t="s">
        <v>1419</v>
      </c>
    </row>
    <row r="282" spans="2:6" x14ac:dyDescent="0.4">
      <c r="B282" s="1" t="s">
        <v>1942</v>
      </c>
      <c r="C282" t="s">
        <v>1857</v>
      </c>
    </row>
    <row r="283" spans="2:6" x14ac:dyDescent="0.4">
      <c r="B283" s="1" t="s">
        <v>1858</v>
      </c>
      <c r="C283" t="s">
        <v>1859</v>
      </c>
    </row>
    <row r="284" spans="2:6" x14ac:dyDescent="0.4">
      <c r="B284" s="1" t="s">
        <v>1860</v>
      </c>
      <c r="C284" t="s">
        <v>1861</v>
      </c>
    </row>
    <row r="285" spans="2:6" x14ac:dyDescent="0.4">
      <c r="B285" s="1" t="s">
        <v>1862</v>
      </c>
      <c r="C285" t="s">
        <v>1863</v>
      </c>
    </row>
    <row r="286" spans="2:6" x14ac:dyDescent="0.4">
      <c r="B286" s="1" t="s">
        <v>1864</v>
      </c>
      <c r="C286" t="s">
        <v>1865</v>
      </c>
    </row>
    <row r="287" spans="2:6" x14ac:dyDescent="0.4">
      <c r="B287" s="1" t="s">
        <v>1866</v>
      </c>
      <c r="C287" t="s">
        <v>1867</v>
      </c>
    </row>
    <row r="288" spans="2:6" x14ac:dyDescent="0.4">
      <c r="B288" s="1" t="s">
        <v>1943</v>
      </c>
      <c r="C288" t="s">
        <v>1868</v>
      </c>
      <c r="D288" s="33" t="s">
        <v>2044</v>
      </c>
      <c r="E288" s="34" t="s">
        <v>2078</v>
      </c>
    </row>
    <row r="289" spans="2:6" x14ac:dyDescent="0.4">
      <c r="B289" s="1" t="s">
        <v>1869</v>
      </c>
      <c r="C289" t="s">
        <v>1870</v>
      </c>
    </row>
    <row r="290" spans="2:6" x14ac:dyDescent="0.4">
      <c r="B290" s="1" t="s">
        <v>1944</v>
      </c>
      <c r="C290" t="s">
        <v>1791</v>
      </c>
    </row>
    <row r="291" spans="2:6" x14ac:dyDescent="0.4">
      <c r="B291" s="1" t="s">
        <v>1945</v>
      </c>
      <c r="C291" t="s">
        <v>1871</v>
      </c>
    </row>
    <row r="292" spans="2:6" x14ac:dyDescent="0.4">
      <c r="B292" s="1" t="s">
        <v>1872</v>
      </c>
      <c r="C292" t="s">
        <v>1960</v>
      </c>
      <c r="D292" s="33" t="s">
        <v>2035</v>
      </c>
      <c r="E292" s="34" t="s">
        <v>2068</v>
      </c>
      <c r="F292" s="32" t="s">
        <v>2442</v>
      </c>
    </row>
    <row r="293" spans="2:6" x14ac:dyDescent="0.4">
      <c r="B293" s="1" t="s">
        <v>1946</v>
      </c>
      <c r="C293" t="s">
        <v>2012</v>
      </c>
      <c r="D293" s="33" t="s">
        <v>2037</v>
      </c>
      <c r="E293" s="34" t="s">
        <v>2064</v>
      </c>
      <c r="F293" s="34" t="s">
        <v>2086</v>
      </c>
    </row>
    <row r="294" spans="2:6" x14ac:dyDescent="0.4">
      <c r="B294" s="1" t="s">
        <v>1947</v>
      </c>
      <c r="C294" t="s">
        <v>2013</v>
      </c>
      <c r="D294" s="33" t="s">
        <v>2037</v>
      </c>
      <c r="E294" s="34" t="s">
        <v>2064</v>
      </c>
      <c r="F294" s="34" t="s">
        <v>2086</v>
      </c>
    </row>
    <row r="295" spans="2:6" x14ac:dyDescent="0.4">
      <c r="B295" s="1" t="s">
        <v>1948</v>
      </c>
      <c r="C295" t="s">
        <v>2011</v>
      </c>
    </row>
    <row r="296" spans="2:6" x14ac:dyDescent="0.4">
      <c r="B296" s="1" t="s">
        <v>286</v>
      </c>
      <c r="C296" t="s">
        <v>1951</v>
      </c>
      <c r="D296" s="33" t="s">
        <v>2099</v>
      </c>
    </row>
    <row r="297" spans="2:6" x14ac:dyDescent="0.4">
      <c r="B297" s="1" t="s">
        <v>1424</v>
      </c>
      <c r="C297" t="s">
        <v>1952</v>
      </c>
      <c r="D297" s="33" t="s">
        <v>2099</v>
      </c>
    </row>
    <row r="298" spans="2:6" x14ac:dyDescent="0.4">
      <c r="B298" s="1" t="s">
        <v>1949</v>
      </c>
      <c r="C298" t="s">
        <v>1950</v>
      </c>
    </row>
    <row r="299" spans="2:6" x14ac:dyDescent="0.4">
      <c r="B299" s="24" t="s">
        <v>1953</v>
      </c>
      <c r="C299" t="s">
        <v>2670</v>
      </c>
      <c r="D299" s="33" t="s">
        <v>2050</v>
      </c>
      <c r="E299" s="32" t="s">
        <v>2442</v>
      </c>
      <c r="F299" s="32" t="s">
        <v>2517</v>
      </c>
    </row>
    <row r="300" spans="2:6" x14ac:dyDescent="0.4">
      <c r="B300" s="1" t="s">
        <v>1954</v>
      </c>
      <c r="C300" t="s">
        <v>1955</v>
      </c>
      <c r="D300" s="33" t="s">
        <v>2042</v>
      </c>
      <c r="E300" s="34" t="s">
        <v>2071</v>
      </c>
    </row>
    <row r="301" spans="2:6" x14ac:dyDescent="0.4">
      <c r="B301" s="24" t="s">
        <v>1956</v>
      </c>
      <c r="C301" t="s">
        <v>1957</v>
      </c>
    </row>
    <row r="302" spans="2:6" x14ac:dyDescent="0.4">
      <c r="B302" s="18" t="s">
        <v>1974</v>
      </c>
      <c r="C302" t="s">
        <v>1975</v>
      </c>
      <c r="D302" s="33" t="s">
        <v>2098</v>
      </c>
    </row>
    <row r="303" spans="2:6" x14ac:dyDescent="0.4">
      <c r="B303" s="18" t="s">
        <v>1958</v>
      </c>
      <c r="C303" t="s">
        <v>1959</v>
      </c>
      <c r="D303" s="33" t="s">
        <v>2039</v>
      </c>
      <c r="E303" s="34" t="s">
        <v>2064</v>
      </c>
    </row>
    <row r="304" spans="2:6" x14ac:dyDescent="0.4">
      <c r="B304" s="18" t="s">
        <v>1961</v>
      </c>
      <c r="C304" t="s">
        <v>1964</v>
      </c>
      <c r="D304" s="33" t="s">
        <v>2031</v>
      </c>
      <c r="E304" s="34" t="s">
        <v>2094</v>
      </c>
    </row>
    <row r="305" spans="2:6" x14ac:dyDescent="0.4">
      <c r="B305" s="26" t="s">
        <v>1962</v>
      </c>
      <c r="C305" t="s">
        <v>1963</v>
      </c>
      <c r="D305" s="33" t="s">
        <v>2031</v>
      </c>
      <c r="E305" s="34" t="s">
        <v>2094</v>
      </c>
    </row>
    <row r="306" spans="2:6" x14ac:dyDescent="0.4">
      <c r="B306" s="1" t="s">
        <v>1968</v>
      </c>
      <c r="C306" t="s">
        <v>1969</v>
      </c>
      <c r="D306" s="33" t="s">
        <v>2032</v>
      </c>
      <c r="E306" s="34" t="s">
        <v>2072</v>
      </c>
    </row>
    <row r="307" spans="2:6" x14ac:dyDescent="0.4">
      <c r="B307" s="1" t="s">
        <v>935</v>
      </c>
      <c r="C307" t="s">
        <v>2496</v>
      </c>
      <c r="D307" s="33" t="s">
        <v>2475</v>
      </c>
      <c r="E307" s="32" t="s">
        <v>2442</v>
      </c>
    </row>
    <row r="308" spans="2:6" x14ac:dyDescent="0.4">
      <c r="B308" s="1" t="s">
        <v>1976</v>
      </c>
      <c r="C308" t="s">
        <v>1977</v>
      </c>
      <c r="D308" s="33" t="s">
        <v>2027</v>
      </c>
      <c r="E308" s="34" t="s">
        <v>2073</v>
      </c>
      <c r="F308" s="32" t="s">
        <v>2085</v>
      </c>
    </row>
    <row r="309" spans="2:6" x14ac:dyDescent="0.4">
      <c r="B309" s="27" t="s">
        <v>1980</v>
      </c>
      <c r="C309" t="s">
        <v>1981</v>
      </c>
      <c r="D309" s="33" t="s">
        <v>2028</v>
      </c>
      <c r="E309" s="34" t="s">
        <v>2074</v>
      </c>
    </row>
    <row r="310" spans="2:6" x14ac:dyDescent="0.4">
      <c r="B310" s="1" t="s">
        <v>1982</v>
      </c>
      <c r="C310" t="s">
        <v>1983</v>
      </c>
      <c r="D310" s="33" t="s">
        <v>2060</v>
      </c>
      <c r="E310" s="34" t="s">
        <v>2075</v>
      </c>
    </row>
    <row r="311" spans="2:6" x14ac:dyDescent="0.4">
      <c r="B311" s="1" t="s">
        <v>1984</v>
      </c>
      <c r="C311" t="s">
        <v>1985</v>
      </c>
      <c r="D311" s="33" t="s">
        <v>2061</v>
      </c>
      <c r="E311" s="34" t="s">
        <v>2075</v>
      </c>
    </row>
    <row r="312" spans="2:6" x14ac:dyDescent="0.4">
      <c r="B312" s="1" t="s">
        <v>1992</v>
      </c>
      <c r="C312" t="s">
        <v>1993</v>
      </c>
      <c r="D312" s="33" t="s">
        <v>2049</v>
      </c>
      <c r="E312" s="34" t="s">
        <v>2076</v>
      </c>
    </row>
    <row r="313" spans="2:6" x14ac:dyDescent="0.4">
      <c r="B313" s="1" t="s">
        <v>1994</v>
      </c>
      <c r="C313" t="s">
        <v>2117</v>
      </c>
      <c r="D313" s="33" t="s">
        <v>2119</v>
      </c>
      <c r="E313" s="34" t="s">
        <v>2076</v>
      </c>
    </row>
    <row r="314" spans="2:6" x14ac:dyDescent="0.4">
      <c r="B314" s="1" t="s">
        <v>1995</v>
      </c>
      <c r="C314" t="s">
        <v>2118</v>
      </c>
      <c r="D314" s="33" t="s">
        <v>2119</v>
      </c>
      <c r="E314" s="34" t="s">
        <v>2076</v>
      </c>
    </row>
    <row r="315" spans="2:6" x14ac:dyDescent="0.4">
      <c r="B315" s="1" t="s">
        <v>1999</v>
      </c>
      <c r="C315" t="s">
        <v>2580</v>
      </c>
      <c r="D315" s="53" t="s">
        <v>2581</v>
      </c>
      <c r="E315" s="34" t="s">
        <v>2077</v>
      </c>
      <c r="F315" s="32" t="s">
        <v>2550</v>
      </c>
    </row>
    <row r="316" spans="2:6" x14ac:dyDescent="0.4">
      <c r="B316" s="1" t="s">
        <v>153</v>
      </c>
      <c r="C316" t="s">
        <v>1998</v>
      </c>
      <c r="D316" s="33" t="s">
        <v>2048</v>
      </c>
      <c r="E316" s="34" t="s">
        <v>2076</v>
      </c>
      <c r="F316" s="32" t="s">
        <v>2517</v>
      </c>
    </row>
    <row r="317" spans="2:6" x14ac:dyDescent="0.4">
      <c r="B317" s="1" t="s">
        <v>1996</v>
      </c>
      <c r="C317" t="s">
        <v>1997</v>
      </c>
      <c r="D317" s="33" t="s">
        <v>2048</v>
      </c>
      <c r="E317" s="34" t="s">
        <v>2076</v>
      </c>
    </row>
    <row r="318" spans="2:6" x14ac:dyDescent="0.4">
      <c r="B318" s="1" t="s">
        <v>2002</v>
      </c>
      <c r="C318" t="s">
        <v>2003</v>
      </c>
      <c r="D318" s="33" t="s">
        <v>2051</v>
      </c>
      <c r="E318" s="34" t="s">
        <v>2469</v>
      </c>
      <c r="F318" s="32" t="s">
        <v>2070</v>
      </c>
    </row>
    <row r="319" spans="2:6" x14ac:dyDescent="0.4">
      <c r="B319" s="1" t="s">
        <v>2004</v>
      </c>
      <c r="C319" t="s">
        <v>2005</v>
      </c>
      <c r="D319" s="33" t="s">
        <v>2052</v>
      </c>
      <c r="E319" s="34" t="s">
        <v>2469</v>
      </c>
    </row>
    <row r="320" spans="2:6" x14ac:dyDescent="0.4">
      <c r="B320" s="1" t="s">
        <v>2006</v>
      </c>
      <c r="C320" t="s">
        <v>2014</v>
      </c>
      <c r="D320" s="33" t="s">
        <v>2054</v>
      </c>
      <c r="E320" s="34" t="s">
        <v>2469</v>
      </c>
      <c r="F320" s="32" t="s">
        <v>2070</v>
      </c>
    </row>
    <row r="321" spans="2:7" x14ac:dyDescent="0.4">
      <c r="B321" s="30" t="s">
        <v>821</v>
      </c>
      <c r="C321" t="s">
        <v>2010</v>
      </c>
      <c r="D321" s="33" t="s">
        <v>2097</v>
      </c>
      <c r="E321" s="32" t="s">
        <v>2070</v>
      </c>
    </row>
    <row r="322" spans="2:7" x14ac:dyDescent="0.4">
      <c r="B322" s="1" t="s">
        <v>2007</v>
      </c>
      <c r="C322" t="s">
        <v>2008</v>
      </c>
      <c r="D322" s="33" t="s">
        <v>2053</v>
      </c>
      <c r="E322" s="34" t="s">
        <v>2469</v>
      </c>
    </row>
    <row r="323" spans="2:7" x14ac:dyDescent="0.4">
      <c r="B323" s="1" t="s">
        <v>1093</v>
      </c>
      <c r="C323" t="s">
        <v>2488</v>
      </c>
      <c r="D323" s="33" t="s">
        <v>2789</v>
      </c>
      <c r="E323" s="34" t="s">
        <v>2469</v>
      </c>
      <c r="F323" s="32" t="s">
        <v>2070</v>
      </c>
    </row>
    <row r="324" spans="2:7" x14ac:dyDescent="0.4">
      <c r="B324" s="1" t="s">
        <v>296</v>
      </c>
      <c r="C324" t="s">
        <v>2791</v>
      </c>
      <c r="D324" s="33" t="s">
        <v>2790</v>
      </c>
      <c r="E324" s="34" t="s">
        <v>2469</v>
      </c>
      <c r="F324" s="32" t="s">
        <v>2070</v>
      </c>
      <c r="G324" s="32" t="s">
        <v>2486</v>
      </c>
    </row>
    <row r="325" spans="2:7" x14ac:dyDescent="0.4">
      <c r="B325" s="1" t="s">
        <v>1972</v>
      </c>
      <c r="C325" t="s">
        <v>2112</v>
      </c>
      <c r="D325" s="33" t="s">
        <v>2114</v>
      </c>
      <c r="E325" s="34" t="s">
        <v>2064</v>
      </c>
      <c r="F325" s="34" t="s">
        <v>2084</v>
      </c>
    </row>
    <row r="326" spans="2:7" x14ac:dyDescent="0.4">
      <c r="B326" s="1" t="s">
        <v>1973</v>
      </c>
      <c r="C326" t="s">
        <v>2113</v>
      </c>
      <c r="D326" s="33" t="s">
        <v>2114</v>
      </c>
      <c r="E326" s="34" t="s">
        <v>2064</v>
      </c>
      <c r="F326" s="34" t="s">
        <v>2084</v>
      </c>
    </row>
    <row r="327" spans="2:7" x14ac:dyDescent="0.4">
      <c r="B327" s="1" t="s">
        <v>1990</v>
      </c>
      <c r="C327" t="s">
        <v>2772</v>
      </c>
      <c r="D327" s="33" t="s">
        <v>2782</v>
      </c>
      <c r="E327" s="34" t="s">
        <v>2069</v>
      </c>
    </row>
    <row r="328" spans="2:7" x14ac:dyDescent="0.4">
      <c r="B328" s="1" t="s">
        <v>1971</v>
      </c>
      <c r="C328" t="s">
        <v>2489</v>
      </c>
      <c r="D328" s="33" t="s">
        <v>2434</v>
      </c>
      <c r="E328" s="34" t="s">
        <v>2068</v>
      </c>
      <c r="F328" s="32"/>
    </row>
    <row r="329" spans="2:7" x14ac:dyDescent="0.4">
      <c r="B329" s="1" t="s">
        <v>406</v>
      </c>
      <c r="C329" t="s">
        <v>2490</v>
      </c>
      <c r="D329" s="33" t="s">
        <v>2435</v>
      </c>
      <c r="E329" s="34" t="s">
        <v>2469</v>
      </c>
    </row>
    <row r="330" spans="2:7" x14ac:dyDescent="0.4">
      <c r="B330" s="1" t="s">
        <v>160</v>
      </c>
      <c r="C330" t="s">
        <v>2491</v>
      </c>
      <c r="D330" s="41" t="s">
        <v>2436</v>
      </c>
      <c r="E330" s="42" t="s">
        <v>2437</v>
      </c>
      <c r="F330" s="32" t="s">
        <v>2544</v>
      </c>
    </row>
    <row r="331" spans="2:7" x14ac:dyDescent="0.4">
      <c r="B331" s="1" t="s">
        <v>1102</v>
      </c>
      <c r="C331" t="s">
        <v>2785</v>
      </c>
      <c r="D331" s="33" t="s">
        <v>2786</v>
      </c>
      <c r="E331" s="42" t="s">
        <v>2437</v>
      </c>
      <c r="F331" s="32" t="s">
        <v>2544</v>
      </c>
      <c r="G331" s="32" t="s">
        <v>2787</v>
      </c>
    </row>
    <row r="332" spans="2:7" x14ac:dyDescent="0.4">
      <c r="B332" s="1" t="s">
        <v>2476</v>
      </c>
      <c r="C332" t="s">
        <v>2492</v>
      </c>
      <c r="D332" s="43" t="s">
        <v>2477</v>
      </c>
      <c r="E332" s="34" t="s">
        <v>2478</v>
      </c>
      <c r="F332" s="32"/>
      <c r="G332" s="32"/>
    </row>
    <row r="333" spans="2:7" x14ac:dyDescent="0.4">
      <c r="B333" s="1" t="s">
        <v>1146</v>
      </c>
      <c r="C333" t="s">
        <v>2493</v>
      </c>
      <c r="D333" s="33" t="s">
        <v>2479</v>
      </c>
      <c r="E333" s="34" t="s">
        <v>2479</v>
      </c>
    </row>
    <row r="334" spans="2:7" x14ac:dyDescent="0.4">
      <c r="B334" s="1" t="s">
        <v>2480</v>
      </c>
      <c r="C334" t="s">
        <v>2494</v>
      </c>
      <c r="D334" s="33" t="s">
        <v>2479</v>
      </c>
      <c r="E334" s="34" t="s">
        <v>2479</v>
      </c>
    </row>
    <row r="335" spans="2:7" x14ac:dyDescent="0.4">
      <c r="B335" s="1" t="s">
        <v>2481</v>
      </c>
      <c r="C335" t="s">
        <v>2495</v>
      </c>
      <c r="D335" s="41" t="s">
        <v>2483</v>
      </c>
      <c r="E335" s="34" t="s">
        <v>2484</v>
      </c>
    </row>
    <row r="336" spans="2:7" x14ac:dyDescent="0.4">
      <c r="B336" s="1" t="s">
        <v>2482</v>
      </c>
      <c r="C336" t="s">
        <v>2487</v>
      </c>
      <c r="D336" s="41" t="s">
        <v>2483</v>
      </c>
      <c r="E336" s="34" t="s">
        <v>2484</v>
      </c>
    </row>
    <row r="337" spans="1:5" x14ac:dyDescent="0.4">
      <c r="B337" s="1" t="s">
        <v>1753</v>
      </c>
      <c r="C337" t="s">
        <v>2536</v>
      </c>
      <c r="D337" s="33" t="s">
        <v>2539</v>
      </c>
      <c r="E337" s="34" t="s">
        <v>2535</v>
      </c>
    </row>
    <row r="338" spans="1:5" x14ac:dyDescent="0.4">
      <c r="B338" s="1" t="s">
        <v>2537</v>
      </c>
      <c r="C338" t="s">
        <v>2538</v>
      </c>
      <c r="D338" s="33" t="s">
        <v>2539</v>
      </c>
      <c r="E338" s="34" t="s">
        <v>2535</v>
      </c>
    </row>
    <row r="339" spans="1:5" x14ac:dyDescent="0.4">
      <c r="B339" s="1" t="s">
        <v>1021</v>
      </c>
      <c r="C339" t="s">
        <v>2583</v>
      </c>
      <c r="D339" s="53" t="s">
        <v>2582</v>
      </c>
      <c r="E339" s="32" t="s">
        <v>2550</v>
      </c>
    </row>
    <row r="340" spans="1:5" x14ac:dyDescent="0.4">
      <c r="B340" s="1" t="s">
        <v>2699</v>
      </c>
      <c r="C340" t="s">
        <v>2700</v>
      </c>
      <c r="D340" s="33" t="s">
        <v>2701</v>
      </c>
      <c r="E340" s="34" t="s">
        <v>2702</v>
      </c>
    </row>
    <row r="341" spans="1:5" x14ac:dyDescent="0.4">
      <c r="B341" s="1" t="s">
        <v>2704</v>
      </c>
      <c r="C341" s="55" t="s">
        <v>2705</v>
      </c>
      <c r="D341" s="33" t="s">
        <v>2706</v>
      </c>
      <c r="E341" s="34" t="s">
        <v>2702</v>
      </c>
    </row>
    <row r="342" spans="1:5" x14ac:dyDescent="0.4">
      <c r="B342" s="1" t="s">
        <v>2707</v>
      </c>
      <c r="C342" s="55" t="s">
        <v>2708</v>
      </c>
      <c r="D342" s="33" t="s">
        <v>2709</v>
      </c>
      <c r="E342" s="34" t="s">
        <v>2702</v>
      </c>
    </row>
    <row r="343" spans="1:5" x14ac:dyDescent="0.4">
      <c r="B343" s="1" t="s">
        <v>2734</v>
      </c>
      <c r="C343" t="s">
        <v>2735</v>
      </c>
      <c r="D343" s="33" t="s">
        <v>2736</v>
      </c>
      <c r="E343" s="33" t="s">
        <v>2737</v>
      </c>
    </row>
    <row r="344" spans="1:5" x14ac:dyDescent="0.4">
      <c r="B344" s="1" t="s">
        <v>2738</v>
      </c>
      <c r="C344" t="s">
        <v>2739</v>
      </c>
      <c r="D344" s="33" t="s">
        <v>2099</v>
      </c>
    </row>
    <row r="345" spans="1:5" x14ac:dyDescent="0.4">
      <c r="B345" s="1" t="s">
        <v>2740</v>
      </c>
      <c r="C345" t="s">
        <v>2741</v>
      </c>
      <c r="D345" s="33" t="s">
        <v>2099</v>
      </c>
    </row>
    <row r="346" spans="1:5" x14ac:dyDescent="0.4">
      <c r="A346" t="s">
        <v>1876</v>
      </c>
    </row>
  </sheetData>
  <phoneticPr fontId="1"/>
  <conditionalFormatting sqref="B69">
    <cfRule type="expression" dxfId="8" priority="6">
      <formula>RIGHT(B69,1)="?"</formula>
    </cfRule>
    <cfRule type="cellIs" dxfId="7" priority="7" operator="equal">
      <formula>" "</formula>
    </cfRule>
  </conditionalFormatting>
  <conditionalFormatting sqref="B296:B297">
    <cfRule type="cellIs" dxfId="6" priority="3" operator="equal">
      <formula>" "</formula>
    </cfRule>
  </conditionalFormatting>
  <hyperlinks>
    <hyperlink ref="E217" r:id="rId1" xr:uid="{2BD22168-2F0F-4260-8DC6-FCDAA83902A4}"/>
    <hyperlink ref="E220" r:id="rId2" xr:uid="{5A86A9C8-18B7-49D4-B0DA-510F8507220D}"/>
    <hyperlink ref="E242" r:id="rId3" xr:uid="{E8BDD6E9-53E1-49ED-9A35-0FFE574C21E6}"/>
    <hyperlink ref="E330" r:id="rId4" display="●壁？" xr:uid="{15456AB3-5F70-432C-91F1-C3B6D972B050}"/>
    <hyperlink ref="E327" r:id="rId5" xr:uid="{B5E564C1-2202-4076-A41F-2A29B21EEF86}"/>
    <hyperlink ref="E309" r:id="rId6" xr:uid="{4E8F2926-23D8-4338-A705-D1EB793CFD3E}"/>
    <hyperlink ref="E308" r:id="rId7" xr:uid="{82427E63-C1DB-4ADE-A529-AB11239EFCCF}"/>
    <hyperlink ref="E181" r:id="rId8" xr:uid="{FA78759D-C553-403D-992E-421D714D9F9A}"/>
    <hyperlink ref="E306" r:id="rId9" xr:uid="{E0B36401-B236-49E7-82D8-7ED63A6D7DBE}"/>
    <hyperlink ref="E189" r:id="rId10" xr:uid="{4ADE96FD-5709-4E9D-A184-C7F392590887}"/>
    <hyperlink ref="E261" r:id="rId11" xr:uid="{4D6FC0FA-E825-4FA8-A960-70D867620EC0}"/>
    <hyperlink ref="E180" r:id="rId12" xr:uid="{D49DD08F-1EF6-4D4C-A0E4-8B16E7D228CC}"/>
    <hyperlink ref="E300" r:id="rId13" xr:uid="{FFBE8D92-DB52-4411-9DBA-7061F3A88180}"/>
    <hyperlink ref="E288" r:id="rId14" xr:uid="{F56E8B3B-C96C-4C92-BDF3-0433DFF6F363}"/>
    <hyperlink ref="E233" r:id="rId15" xr:uid="{C8B3A9F6-E20B-4806-986C-21837F397D46}"/>
    <hyperlink ref="E164" r:id="rId16" xr:uid="{4FE6B493-0A62-44D8-B265-E4BE0CF30A01}"/>
    <hyperlink ref="E159" r:id="rId17" xr:uid="{E7F50912-0B82-46DE-BFC1-44F9BF8D5AA1}"/>
    <hyperlink ref="F180" r:id="rId18" xr:uid="{DB06038A-C39A-4D4D-842D-EFA08F8E8C30}"/>
    <hyperlink ref="E310" r:id="rId19" xr:uid="{80642AE9-EB09-43F8-8ED4-4296F935955A}"/>
    <hyperlink ref="E163" r:id="rId20" xr:uid="{AA4E558B-E442-4D3F-A743-A0D4BF133471}"/>
    <hyperlink ref="F194" r:id="rId21" xr:uid="{D0003710-B87A-4132-8F8C-F03A94DB0D8E}"/>
    <hyperlink ref="G195" r:id="rId22" xr:uid="{E145CBB8-9029-48BC-9EF6-24A9D6546912}"/>
    <hyperlink ref="E200" r:id="rId23" xr:uid="{069318CA-733C-4637-8231-71BF8BDE174C}"/>
    <hyperlink ref="F200" r:id="rId24" xr:uid="{606F5CDB-9747-4F64-AA15-7F28234FF649}"/>
    <hyperlink ref="E243" r:id="rId25" xr:uid="{E4A3FF73-4921-408C-8FC8-576088C455C5}"/>
    <hyperlink ref="F261" r:id="rId26" display="無影言本祭" xr:uid="{FD6022E8-CD2D-453D-B9BD-977A5A45A79A}"/>
    <hyperlink ref="F308" r:id="rId27" xr:uid="{CB76E612-3F74-438D-AE6C-4556B87A3117}"/>
    <hyperlink ref="E312" r:id="rId28" xr:uid="{400C510C-E456-4A27-B24C-418D350D90BD}"/>
    <hyperlink ref="E315" r:id="rId29" xr:uid="{14C34214-6147-4305-92F1-69B213D1FA29}"/>
    <hyperlink ref="F318" r:id="rId30" xr:uid="{DB7A9083-BA12-48B2-8FF0-15D58BECB5DE}"/>
    <hyperlink ref="E254" r:id="rId31" xr:uid="{4F5E8AA4-E2BF-41E9-9FF9-67C354DB7071}"/>
    <hyperlink ref="E258" r:id="rId32" xr:uid="{6212D2A7-A60E-4A8A-AC13-A29B95A7B7AD}"/>
    <hyperlink ref="E260" r:id="rId33" xr:uid="{A312B211-7E36-48C6-86A6-43FFD50F9564}"/>
    <hyperlink ref="E278" r:id="rId34" xr:uid="{57B1F815-44C0-490D-8DD0-A2C57F66B381}"/>
    <hyperlink ref="E303" r:id="rId35" xr:uid="{10DAE240-14E7-4DE4-9086-1C76A7B2C1C2}"/>
    <hyperlink ref="E325" r:id="rId36" xr:uid="{DD87348E-9210-439B-954F-C4B341F5F286}"/>
    <hyperlink ref="E326" r:id="rId37" xr:uid="{B82F962C-17C5-48A6-9F5B-B7CD6194D005}"/>
    <hyperlink ref="F213" r:id="rId38" xr:uid="{FBE5799F-EC50-4A5B-9DE1-C5C4BFCCC92C}"/>
    <hyperlink ref="E293" r:id="rId39" xr:uid="{1EE495D5-212D-491A-9CC1-04E3004E4F7E}"/>
    <hyperlink ref="E294" r:id="rId40" xr:uid="{466A8EC9-5237-4A15-8DB6-88D959EA8FF9}"/>
    <hyperlink ref="E241" r:id="rId41" xr:uid="{43CF7CFC-B575-4CEF-990F-50420F12A526}"/>
    <hyperlink ref="E213" r:id="rId42" xr:uid="{CD293A95-0BE7-4049-9C45-13227B9B3899}"/>
    <hyperlink ref="E247" r:id="rId43" xr:uid="{9F3BBE7C-4C0F-46BC-A332-52D676A47F56}"/>
    <hyperlink ref="E292" r:id="rId44" xr:uid="{C71E14FD-F4AF-4F58-8BDE-DD61974BA0D0}"/>
    <hyperlink ref="E328" r:id="rId45" xr:uid="{202F65B8-C4AF-4ACA-B5DD-3359FDDB3851}"/>
    <hyperlink ref="F320" r:id="rId46" xr:uid="{47BDEA1B-924E-4CE2-8E98-6DD194EE2BAD}"/>
    <hyperlink ref="F323" r:id="rId47" xr:uid="{D6773DAB-BA6A-4BBB-A631-F34DE69BC44B}"/>
    <hyperlink ref="F324" r:id="rId48" xr:uid="{56916333-2FE8-4766-9AD9-7CB741BE8F6E}"/>
    <hyperlink ref="E311" r:id="rId49" xr:uid="{40287632-DAC3-4AF3-B01C-FF7ACA2A9408}"/>
    <hyperlink ref="E313" r:id="rId50" xr:uid="{4016A78B-17C1-4E02-A76A-CAC2C130042E}"/>
    <hyperlink ref="E314" r:id="rId51" xr:uid="{8814CF23-11DC-4AAF-98EB-6B1811273784}"/>
    <hyperlink ref="E316" r:id="rId52" xr:uid="{43DA7E86-7356-439E-AEED-52273000DEC4}"/>
    <hyperlink ref="E317" r:id="rId53" xr:uid="{D06B01CC-EC81-497A-A370-F094234CA4E4}"/>
    <hyperlink ref="E232" r:id="rId54" xr:uid="{1E3206D5-6A5F-4BB3-B908-778C9EFD5B9B}"/>
    <hyperlink ref="E246" r:id="rId55" xr:uid="{EC9D25F5-D3F5-4CFA-85E1-606706827C8F}"/>
    <hyperlink ref="E245" r:id="rId56" xr:uid="{89A880A0-70F6-481F-8C12-0EE7303F03A2}"/>
    <hyperlink ref="E250" r:id="rId57" xr:uid="{80A3A707-71DD-4447-82C9-04C263DDF404}"/>
    <hyperlink ref="E251" r:id="rId58" xr:uid="{AB5C6BC9-BE79-41AB-8C59-570A0C795D4C}"/>
    <hyperlink ref="E263" r:id="rId59" xr:uid="{C88C226C-07AE-4A36-8C1B-EE98C4EBF5DB}"/>
    <hyperlink ref="E268" r:id="rId60" xr:uid="{F5172BF6-206F-4BB4-97A1-2BAE2C75241E}"/>
    <hyperlink ref="E262" r:id="rId61" xr:uid="{83D6BB10-418D-422C-AA91-29FBCD86F8A1}"/>
    <hyperlink ref="E209" r:id="rId62" xr:uid="{60BD73C8-48D6-44C7-B368-D1C7ECE0C9BC}"/>
    <hyperlink ref="E206" r:id="rId63" xr:uid="{D3F60027-F747-4C8E-BFCB-BF56F7B70CF6}"/>
    <hyperlink ref="E196" r:id="rId64" xr:uid="{BD5558B2-94A0-4F99-B693-982BFB0500B8}"/>
    <hyperlink ref="E198" r:id="rId65" xr:uid="{375C6F58-F39A-4C58-88CA-0A2B8A19765B}"/>
    <hyperlink ref="F243" r:id="rId66" xr:uid="{99AFF788-2968-42F3-B9A1-9905C969BC3D}"/>
    <hyperlink ref="F195" r:id="rId67" xr:uid="{B43EF602-57AE-4CEB-93FF-6DC559FC4614}"/>
    <hyperlink ref="G194" r:id="rId68" xr:uid="{1042BE84-60D9-4073-AE17-3A6941A318F6}"/>
    <hyperlink ref="F181" r:id="rId69" xr:uid="{FC76A82A-A970-4297-80CC-32FC7060A565}"/>
    <hyperlink ref="E184" r:id="rId70" xr:uid="{9A3CDCCF-A808-431C-80A7-55C881940664}"/>
    <hyperlink ref="E185" r:id="rId71" xr:uid="{EF80A702-ACBB-45A9-86FB-8B71571E0E16}"/>
    <hyperlink ref="E194" r:id="rId72" xr:uid="{94AF04F0-7E17-48D8-8076-7DD3D7AD03A8}"/>
    <hyperlink ref="E195" r:id="rId73" xr:uid="{5C158E04-14E5-4376-BB48-6F0429F6732B}"/>
    <hyperlink ref="E304" r:id="rId74" xr:uid="{D2590237-3BED-4C60-B750-4560557DBC76}"/>
    <hyperlink ref="E305" r:id="rId75" xr:uid="{913DCE0F-4E27-441E-A370-EBDC71595DDE}"/>
    <hyperlink ref="F206" r:id="rId76" xr:uid="{CF2F3FBE-5420-4936-8AF6-831F3F2157A3}"/>
    <hyperlink ref="F159" r:id="rId77" xr:uid="{7F726D61-7F7F-4413-A22C-4011E2BCCB5F}"/>
    <hyperlink ref="F198" r:id="rId78" xr:uid="{4865438C-E32A-496F-93EF-F7813CFF1DD3}"/>
    <hyperlink ref="E238" r:id="rId79" xr:uid="{ADF7B2D9-F611-44B4-B8A5-05758C923B02}"/>
    <hyperlink ref="E321" r:id="rId80" xr:uid="{51F6EE0C-4BDA-4D40-B448-F44D8CE199AF}"/>
    <hyperlink ref="F325" r:id="rId81" xr:uid="{FA1433D3-A125-4D91-8655-CE3041406BBF}"/>
    <hyperlink ref="F326" r:id="rId82" xr:uid="{E87B89B3-92DB-4654-B59A-DBB66B4F00DE}"/>
    <hyperlink ref="F185" r:id="rId83" xr:uid="{0CEED77C-AE3C-4AC3-BA83-9660F17E5B98}"/>
    <hyperlink ref="G324" r:id="rId84" display="水覗像/王？" xr:uid="{F00D9D1B-26F7-488C-B91C-F8141BE4536E}"/>
    <hyperlink ref="F293" r:id="rId85" xr:uid="{2B802E9B-5D25-4BD1-AA45-D2032BA9C78D}"/>
    <hyperlink ref="F294" r:id="rId86" xr:uid="{FE3EEB68-9021-4277-AAD9-27391243C61E}"/>
    <hyperlink ref="F184" r:id="rId87" xr:uid="{97AC6B31-C5D9-4148-8AE1-3A52BFB6EC05}"/>
    <hyperlink ref="G159" r:id="rId88" xr:uid="{B9C0917D-E21E-43D6-A01B-7E82133087C0}"/>
    <hyperlink ref="G206" r:id="rId89" xr:uid="{AA239A2B-C23F-48FF-888A-322981A2C098}"/>
    <hyperlink ref="E331" r:id="rId90" display="●壁？" xr:uid="{F990FDFE-4DF0-4673-9826-F0C1E126273C}"/>
    <hyperlink ref="E279" r:id="rId91" display="●壁？" xr:uid="{5EA3C418-1B6D-445D-AE81-ACA7CC55CF94}"/>
    <hyperlink ref="E280" r:id="rId92" display="●壁？" xr:uid="{CE7A30C3-A085-4A9F-87B9-7586D8CCA3E1}"/>
    <hyperlink ref="F292" r:id="rId93" display="○われ？" xr:uid="{72D8E655-D6AE-40C9-ADBE-FF6E1136B3F9}"/>
    <hyperlink ref="E299" r:id="rId94" display="○われ？" xr:uid="{BC289463-9110-4ED1-9FF2-E9A3D1EC3E3A}"/>
    <hyperlink ref="E307" r:id="rId95" display="○われ？" xr:uid="{4B6267F3-44CD-4BC2-B76C-2E72EBB10DFB}"/>
    <hyperlink ref="G185" r:id="rId96" display="掟に関するお知らせ" xr:uid="{A4DE5CC1-C14D-4DC0-B18B-F3F71753D776}"/>
    <hyperlink ref="E318" r:id="rId97" display="掟に関するお知らせ" xr:uid="{62A2A5BA-0B54-402E-9C38-C4D9EB22DFCA}"/>
    <hyperlink ref="E319" r:id="rId98" display="掟に関するお知らせ" xr:uid="{F3ACD306-3D5C-4845-9722-F5192163E0DB}"/>
    <hyperlink ref="E320" r:id="rId99" display="掟に関するお知らせ" xr:uid="{4C069084-A3C6-4F17-9835-4852533E602C}"/>
    <hyperlink ref="E322" r:id="rId100" display="掟に関するお知らせ" xr:uid="{43713843-F0BC-45EB-8141-CDDF434C1D96}"/>
    <hyperlink ref="E323" r:id="rId101" display="掟に関するお知らせ" xr:uid="{48C7A341-761D-4FF9-B9EE-044C09F865E1}"/>
    <hyperlink ref="E324" r:id="rId102" display="掟に関するお知らせ" xr:uid="{3F2B7D36-0F1F-424A-9F17-A1DE9DCD445A}"/>
    <hyperlink ref="E329" r:id="rId103" display="掟に関するお知らせ" xr:uid="{0D72F1A9-4220-4BA0-8A4A-23A1D38533F1}"/>
    <hyperlink ref="E332" r:id="rId104" xr:uid="{4E7486E6-9C9B-4F2B-B7BD-443D1F6304CC}"/>
    <hyperlink ref="E333" r:id="rId105" xr:uid="{A0441298-7143-419D-A793-E976EACA92E3}"/>
    <hyperlink ref="E334" r:id="rId106" xr:uid="{129E740A-4AA0-4F11-88A1-0B9A03860FF2}"/>
    <hyperlink ref="E335" r:id="rId107" xr:uid="{C56117F9-1196-45F7-BA62-047C42ECB7D7}"/>
    <hyperlink ref="E336" r:id="rId108" xr:uid="{E85A37DE-DD8D-4FF4-AA31-96B38F5902E5}"/>
    <hyperlink ref="F316" r:id="rId109" display="無影言本祭" xr:uid="{9A0CC19B-9348-48FF-A0CC-CA3DEFCF51A5}"/>
    <hyperlink ref="F299" r:id="rId110" display="無影言本祭" xr:uid="{0BA89E84-457B-4E28-945D-1DCDB15B63B0}"/>
    <hyperlink ref="E337" r:id="rId111" xr:uid="{C6217001-1ED9-4BE7-914A-0BDBF5BE318C}"/>
    <hyperlink ref="E338" r:id="rId112" xr:uid="{BC9E6940-FF9A-4756-BB1B-0C4403762254}"/>
    <hyperlink ref="F217" r:id="rId113" xr:uid="{3C6377C7-1B66-4476-8E9C-A9D5A878A0AE}"/>
    <hyperlink ref="F260" r:id="rId114" xr:uid="{AA40B19D-9046-4C74-B04E-EDD95592AD0F}"/>
    <hyperlink ref="F164" r:id="rId115" xr:uid="{921360D1-C8F1-47DC-8965-EF1A27211120}"/>
    <hyperlink ref="F258" r:id="rId116" xr:uid="{D1CEAB88-533B-4592-96F7-9C2CA0598EF3}"/>
    <hyperlink ref="F233" r:id="rId117" xr:uid="{35EA88DE-206B-4EF8-9259-9E1E793C9E5B}"/>
    <hyperlink ref="F315" r:id="rId118" xr:uid="{00BD4916-443C-4D61-ADBA-08351BF0AA95}"/>
    <hyperlink ref="E339" r:id="rId119" xr:uid="{35DD3EBE-71F4-4631-AFA7-387F800E7B2F}"/>
    <hyperlink ref="F331" r:id="rId120" xr:uid="{411BBBFD-4B20-4B8E-B6D7-4425E0FB9182}"/>
    <hyperlink ref="F330" r:id="rId121" xr:uid="{8FE7C2D8-229B-435B-8354-9A0EA83B7570}"/>
    <hyperlink ref="H194" r:id="rId122" xr:uid="{5A06E54E-D7FA-4163-B78F-09FB36783946}"/>
    <hyperlink ref="E193" r:id="rId123" xr:uid="{F1E432DC-CBD9-4441-B594-95C84BFC9DE2}"/>
    <hyperlink ref="I194" r:id="rId124" xr:uid="{26BA6F02-E1EA-4539-82D4-14963B73A27E}"/>
    <hyperlink ref="F262" r:id="rId125" xr:uid="{F6A8D4BF-3BA3-4543-A279-4E8833A868D6}"/>
    <hyperlink ref="F278" r:id="rId126" xr:uid="{993902BA-7D34-48FB-8ACF-587A5B27410C}"/>
    <hyperlink ref="E340" r:id="rId127" xr:uid="{9AA5542F-D003-437E-8913-A9512DD01ADF}"/>
    <hyperlink ref="E341" r:id="rId128" xr:uid="{5A8B6FF2-64E9-40FB-A7C2-DF46C3FD4F52}"/>
    <hyperlink ref="E342" r:id="rId129" xr:uid="{75E26C8C-85FC-485D-8511-5265A6C0CBAC}"/>
    <hyperlink ref="E135" r:id="rId130" xr:uid="{73E16B9D-691D-42C8-A812-EF9F0DA5C4AA}"/>
    <hyperlink ref="G181" r:id="rId131" xr:uid="{7343C3A1-5CF1-47F6-A5C4-7CF5A8BE76E7}"/>
    <hyperlink ref="F251" r:id="rId132" xr:uid="{D139FC92-7C4A-469B-A143-9ADFF2564948}"/>
    <hyperlink ref="F268" r:id="rId133" xr:uid="{E445BD3C-8B36-4199-8876-4A6BF79488C5}"/>
    <hyperlink ref="G331" r:id="rId134" xr:uid="{8B0E2C80-F9A1-4AEB-83B8-0014F3EF88BA}"/>
  </hyperlinks>
  <pageMargins left="0.7" right="0.7" top="0.75" bottom="0.75" header="0.3" footer="0.3"/>
  <pageSetup paperSize="9" orientation="portrait" r:id="rId13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238DC29-FB27-4E74-B5C5-CE4EB634110D}">
            <xm:f>COUNTIF(存在しない漢字!$B:$B,IF(RIGHT(C1,1)="?",LEFT(C1,LEN(C1)-1),C1))&gt;0</xm:f>
            <x14:dxf>
              <fill>
                <patternFill>
                  <bgColor rgb="FFFFFF00"/>
                </patternFill>
              </fill>
            </x14:dxf>
          </x14:cfRule>
          <xm:sqref>C1:C1048576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D3C71-9CE7-4A82-9ADB-E5822A69DAB4}">
  <dimension ref="A1:HK25"/>
  <sheetViews>
    <sheetView zoomScale="85" zoomScaleNormal="85" workbookViewId="0">
      <pane xSplit="1" ySplit="1" topLeftCell="CD2" activePane="bottomRight" state="frozen"/>
      <selection pane="topRight" activeCell="B1" sqref="B1"/>
      <selection pane="bottomLeft" activeCell="A2" sqref="A2"/>
      <selection pane="bottomRight" activeCell="CF9" sqref="CF9"/>
    </sheetView>
  </sheetViews>
  <sheetFormatPr defaultRowHeight="35.25" x14ac:dyDescent="0.4"/>
  <cols>
    <col min="1" max="1" width="5" style="11" customWidth="1"/>
    <col min="2" max="2" width="5" style="1" customWidth="1"/>
    <col min="3" max="3" width="5" customWidth="1"/>
    <col min="4" max="4" width="5" style="1" customWidth="1"/>
    <col min="5" max="5" width="5" customWidth="1"/>
    <col min="6" max="6" width="5" style="1" customWidth="1"/>
    <col min="7" max="7" width="5" customWidth="1"/>
    <col min="8" max="8" width="5" style="1" customWidth="1"/>
    <col min="9" max="9" width="5" customWidth="1"/>
    <col min="10" max="10" width="5" style="1" customWidth="1"/>
    <col min="11" max="11" width="5" customWidth="1"/>
    <col min="12" max="12" width="5" style="1" customWidth="1"/>
    <col min="13" max="13" width="5" customWidth="1"/>
    <col min="14" max="14" width="5" style="1" customWidth="1"/>
    <col min="15" max="15" width="5" customWidth="1"/>
    <col min="16" max="16" width="5" style="1" customWidth="1"/>
    <col min="17" max="17" width="5" customWidth="1"/>
    <col min="18" max="18" width="5" style="1" customWidth="1"/>
    <col min="19" max="19" width="5" customWidth="1"/>
    <col min="20" max="20" width="5" style="1" customWidth="1"/>
    <col min="21" max="21" width="5" customWidth="1"/>
    <col min="22" max="22" width="5" style="1" customWidth="1"/>
    <col min="23" max="23" width="5" customWidth="1"/>
    <col min="24" max="24" width="5" style="1" customWidth="1"/>
    <col min="25" max="25" width="5" customWidth="1"/>
    <col min="26" max="26" width="5" style="1" customWidth="1"/>
    <col min="27" max="27" width="5" customWidth="1"/>
    <col min="28" max="28" width="5" style="1" customWidth="1"/>
    <col min="29" max="29" width="5" customWidth="1"/>
    <col min="30" max="30" width="5" style="1" customWidth="1"/>
    <col min="31" max="31" width="5" customWidth="1"/>
    <col min="32" max="32" width="5" style="1" customWidth="1"/>
    <col min="33" max="33" width="5" customWidth="1"/>
    <col min="34" max="34" width="5" style="1" customWidth="1"/>
    <col min="35" max="35" width="5" customWidth="1"/>
    <col min="36" max="36" width="5" style="1" customWidth="1"/>
    <col min="37" max="37" width="5" customWidth="1"/>
    <col min="38" max="38" width="5" style="1" customWidth="1"/>
    <col min="39" max="39" width="5" customWidth="1"/>
    <col min="40" max="40" width="5" style="1" customWidth="1"/>
    <col min="41" max="41" width="5" customWidth="1"/>
    <col min="42" max="42" width="5" style="1" customWidth="1"/>
    <col min="43" max="43" width="5" customWidth="1"/>
    <col min="44" max="44" width="5" style="1" customWidth="1"/>
    <col min="45" max="45" width="5" customWidth="1"/>
    <col min="46" max="46" width="5" style="1" customWidth="1"/>
    <col min="47" max="47" width="5" customWidth="1"/>
    <col min="48" max="48" width="5" style="1" customWidth="1"/>
    <col min="49" max="49" width="5" customWidth="1"/>
    <col min="50" max="50" width="5" style="1" customWidth="1"/>
    <col min="51" max="51" width="5" customWidth="1"/>
    <col min="52" max="52" width="5" style="1" customWidth="1"/>
    <col min="53" max="53" width="5" customWidth="1"/>
    <col min="54" max="54" width="5" style="1" customWidth="1"/>
    <col min="55" max="55" width="5" customWidth="1"/>
    <col min="56" max="56" width="5" style="1" customWidth="1"/>
    <col min="57" max="57" width="5" customWidth="1"/>
    <col min="58" max="58" width="5" style="1" customWidth="1"/>
    <col min="59" max="59" width="5" customWidth="1"/>
    <col min="60" max="60" width="5" style="1" customWidth="1"/>
    <col min="61" max="61" width="5" customWidth="1"/>
    <col min="62" max="62" width="5" style="1" customWidth="1"/>
    <col min="63" max="63" width="5" customWidth="1"/>
    <col min="64" max="64" width="5" style="1" customWidth="1"/>
    <col min="65" max="65" width="5" customWidth="1"/>
    <col min="66" max="66" width="5" style="1" customWidth="1"/>
    <col min="67" max="67" width="5" customWidth="1"/>
    <col min="68" max="68" width="5" style="1" customWidth="1"/>
    <col min="69" max="69" width="5" customWidth="1"/>
    <col min="70" max="70" width="5" style="1" customWidth="1"/>
    <col min="71" max="71" width="5" customWidth="1"/>
    <col min="72" max="72" width="5" style="1" customWidth="1"/>
    <col min="73" max="73" width="5" customWidth="1"/>
    <col min="74" max="74" width="5" style="1" customWidth="1"/>
    <col min="75" max="75" width="5" customWidth="1"/>
    <col min="76" max="76" width="5" style="1" customWidth="1"/>
    <col min="77" max="77" width="5" customWidth="1"/>
    <col min="78" max="78" width="5" style="1" customWidth="1"/>
    <col min="79" max="79" width="5" customWidth="1"/>
    <col min="80" max="80" width="5" style="1" customWidth="1"/>
    <col min="81" max="81" width="5" customWidth="1"/>
    <col min="82" max="82" width="5" style="1" customWidth="1"/>
    <col min="83" max="83" width="5" customWidth="1"/>
    <col min="84" max="84" width="5" style="1" customWidth="1"/>
    <col min="85" max="85" width="5" customWidth="1"/>
    <col min="86" max="86" width="5" style="1" customWidth="1"/>
    <col min="87" max="87" width="5" customWidth="1"/>
    <col min="88" max="88" width="5" style="1" customWidth="1"/>
    <col min="89" max="89" width="5" customWidth="1"/>
    <col min="90" max="90" width="5" style="1" customWidth="1"/>
    <col min="91" max="91" width="5" customWidth="1"/>
    <col min="92" max="92" width="5" style="1" customWidth="1"/>
    <col min="93" max="93" width="5" customWidth="1"/>
    <col min="94" max="94" width="5" style="1" customWidth="1"/>
    <col min="95" max="95" width="5" customWidth="1"/>
    <col min="96" max="96" width="5" style="1" customWidth="1"/>
    <col min="97" max="97" width="5" customWidth="1"/>
    <col min="98" max="98" width="5" style="1" customWidth="1"/>
    <col min="99" max="99" width="5" customWidth="1"/>
    <col min="100" max="100" width="5" style="1" customWidth="1"/>
    <col min="101" max="101" width="5" customWidth="1"/>
    <col min="102" max="102" width="5" style="1" customWidth="1"/>
    <col min="103" max="103" width="5" customWidth="1"/>
    <col min="104" max="104" width="5" style="1" customWidth="1"/>
    <col min="105" max="105" width="5" customWidth="1"/>
    <col min="106" max="106" width="5" style="1" customWidth="1"/>
    <col min="107" max="107" width="5" customWidth="1"/>
    <col min="108" max="108" width="5" style="1" customWidth="1"/>
    <col min="109" max="109" width="5" customWidth="1"/>
    <col min="110" max="110" width="5" style="1" customWidth="1"/>
    <col min="111" max="111" width="5" customWidth="1"/>
    <col min="112" max="112" width="5" style="1" customWidth="1"/>
    <col min="113" max="113" width="5" customWidth="1"/>
    <col min="114" max="114" width="5" style="1" customWidth="1"/>
    <col min="115" max="115" width="5" customWidth="1"/>
    <col min="116" max="116" width="5" style="1" customWidth="1"/>
    <col min="117" max="117" width="5" customWidth="1"/>
    <col min="118" max="118" width="5" style="1" customWidth="1"/>
    <col min="119" max="119" width="5" customWidth="1"/>
    <col min="120" max="120" width="5" style="1" customWidth="1"/>
    <col min="121" max="121" width="5" customWidth="1"/>
    <col min="122" max="122" width="5" style="1" customWidth="1"/>
    <col min="123" max="123" width="5" customWidth="1"/>
    <col min="124" max="124" width="5" style="1" customWidth="1"/>
    <col min="125" max="125" width="5" customWidth="1"/>
    <col min="126" max="126" width="5" style="1" customWidth="1"/>
    <col min="127" max="127" width="5" customWidth="1"/>
    <col min="128" max="128" width="5" style="1" customWidth="1"/>
    <col min="129" max="129" width="5" customWidth="1"/>
    <col min="130" max="130" width="5" style="1" customWidth="1"/>
    <col min="131" max="131" width="5" customWidth="1"/>
    <col min="132" max="132" width="5" style="1" customWidth="1"/>
    <col min="133" max="133" width="5" customWidth="1"/>
    <col min="134" max="134" width="5" style="1" customWidth="1"/>
    <col min="135" max="135" width="5" customWidth="1"/>
    <col min="136" max="136" width="5" style="1" customWidth="1"/>
    <col min="137" max="137" width="5" customWidth="1"/>
    <col min="138" max="138" width="5" style="1" customWidth="1"/>
    <col min="139" max="139" width="5" customWidth="1"/>
    <col min="140" max="140" width="5" style="1" customWidth="1"/>
    <col min="141" max="141" width="5" customWidth="1"/>
  </cols>
  <sheetData>
    <row r="1" spans="1:219" s="16" customFormat="1" ht="30" customHeight="1" x14ac:dyDescent="0.4">
      <c r="A1" s="12"/>
      <c r="B1" s="13" t="s">
        <v>0</v>
      </c>
      <c r="C1" s="13"/>
      <c r="D1" s="13" t="s">
        <v>1</v>
      </c>
      <c r="E1" s="13"/>
      <c r="F1" s="13" t="s">
        <v>2</v>
      </c>
      <c r="G1" s="13"/>
      <c r="H1" s="13" t="s">
        <v>3</v>
      </c>
      <c r="I1" s="13"/>
      <c r="J1" s="13" t="s">
        <v>4</v>
      </c>
      <c r="K1" s="13"/>
      <c r="L1" s="13" t="s">
        <v>5</v>
      </c>
      <c r="M1" s="13"/>
      <c r="N1" s="13" t="s">
        <v>6</v>
      </c>
      <c r="O1" s="13"/>
      <c r="P1" s="13" t="s">
        <v>7</v>
      </c>
      <c r="Q1" s="13"/>
      <c r="R1" s="13" t="s">
        <v>8</v>
      </c>
      <c r="S1" s="13"/>
      <c r="T1" s="13" t="s">
        <v>9</v>
      </c>
      <c r="U1" s="13"/>
      <c r="V1" s="13" t="s">
        <v>10</v>
      </c>
      <c r="W1" s="13"/>
      <c r="X1" s="13" t="s">
        <v>11</v>
      </c>
      <c r="Y1" s="13"/>
      <c r="Z1" s="13" t="s">
        <v>12</v>
      </c>
      <c r="AA1" s="13"/>
      <c r="AB1" s="13" t="s">
        <v>13</v>
      </c>
      <c r="AC1" s="13"/>
      <c r="AD1" s="13" t="s">
        <v>14</v>
      </c>
      <c r="AE1" s="13"/>
      <c r="AF1" s="13" t="s">
        <v>15</v>
      </c>
      <c r="AG1" s="13"/>
      <c r="AH1" s="13" t="s">
        <v>16</v>
      </c>
      <c r="AI1" s="13"/>
      <c r="AJ1" s="13" t="s">
        <v>17</v>
      </c>
      <c r="AK1" s="13"/>
      <c r="AL1" s="13" t="s">
        <v>18</v>
      </c>
      <c r="AM1" s="13"/>
      <c r="AN1" s="13" t="s">
        <v>19</v>
      </c>
      <c r="AO1" s="13"/>
      <c r="AP1" s="13" t="s">
        <v>20</v>
      </c>
      <c r="AQ1" s="13"/>
      <c r="AR1" s="13" t="s">
        <v>21</v>
      </c>
      <c r="AS1" s="13"/>
      <c r="AT1" s="13" t="s">
        <v>22</v>
      </c>
      <c r="AU1" s="13"/>
      <c r="AV1" s="13" t="s">
        <v>23</v>
      </c>
      <c r="AW1" s="13"/>
      <c r="AX1" s="13" t="s">
        <v>24</v>
      </c>
      <c r="AY1" s="13"/>
      <c r="AZ1" s="13" t="s">
        <v>25</v>
      </c>
      <c r="BA1" s="13"/>
      <c r="BB1" s="13" t="s">
        <v>26</v>
      </c>
      <c r="BC1" s="13"/>
      <c r="BD1" s="13" t="s">
        <v>27</v>
      </c>
      <c r="BE1" s="13"/>
      <c r="BF1" s="13" t="s">
        <v>28</v>
      </c>
      <c r="BG1" s="13"/>
      <c r="BH1" s="13" t="s">
        <v>29</v>
      </c>
      <c r="BI1" s="13"/>
      <c r="BJ1" s="13" t="s">
        <v>30</v>
      </c>
      <c r="BK1" s="13"/>
      <c r="BL1" s="13" t="s">
        <v>31</v>
      </c>
      <c r="BM1" s="13"/>
      <c r="BN1" s="13" t="s">
        <v>32</v>
      </c>
      <c r="BO1" s="13"/>
      <c r="BP1" s="13" t="s">
        <v>33</v>
      </c>
      <c r="BQ1" s="13"/>
      <c r="BR1" s="13" t="s">
        <v>34</v>
      </c>
      <c r="BS1" s="13"/>
      <c r="BT1" s="13" t="s">
        <v>35</v>
      </c>
      <c r="BU1" s="13"/>
      <c r="BV1" s="13" t="s">
        <v>36</v>
      </c>
      <c r="BW1" s="13"/>
      <c r="BX1" s="13" t="s">
        <v>37</v>
      </c>
      <c r="BY1" s="13"/>
      <c r="BZ1" s="13" t="s">
        <v>38</v>
      </c>
      <c r="CA1" s="13"/>
      <c r="CB1" s="13" t="s">
        <v>39</v>
      </c>
      <c r="CC1" s="13"/>
      <c r="CD1" s="13" t="s">
        <v>40</v>
      </c>
      <c r="CE1" s="13"/>
      <c r="CF1" s="13" t="s">
        <v>41</v>
      </c>
      <c r="CG1" s="13"/>
      <c r="CH1" s="13" t="s">
        <v>42</v>
      </c>
      <c r="CI1" s="13"/>
      <c r="CJ1" s="13" t="s">
        <v>43</v>
      </c>
      <c r="CK1" s="13"/>
      <c r="CL1" s="13" t="s">
        <v>44</v>
      </c>
      <c r="CM1" s="13"/>
      <c r="CN1" s="13" t="s">
        <v>45</v>
      </c>
      <c r="CO1" s="13"/>
      <c r="CP1" s="13" t="s">
        <v>46</v>
      </c>
      <c r="CQ1" s="13"/>
      <c r="CR1" s="13" t="s">
        <v>47</v>
      </c>
      <c r="CS1" s="13"/>
      <c r="CT1" s="13" t="s">
        <v>48</v>
      </c>
      <c r="CU1" s="13"/>
      <c r="CV1" s="13" t="s">
        <v>49</v>
      </c>
      <c r="CW1" s="13"/>
      <c r="CX1" s="13" t="s">
        <v>50</v>
      </c>
      <c r="CY1" s="13"/>
      <c r="CZ1" s="13" t="s">
        <v>51</v>
      </c>
      <c r="DA1" s="13"/>
      <c r="DB1" s="13" t="s">
        <v>52</v>
      </c>
      <c r="DC1" s="13"/>
      <c r="DD1" s="13" t="s">
        <v>53</v>
      </c>
      <c r="DE1" s="13"/>
      <c r="DF1" s="13" t="s">
        <v>54</v>
      </c>
      <c r="DG1" s="13"/>
      <c r="DH1" s="13" t="s">
        <v>55</v>
      </c>
      <c r="DI1" s="13"/>
      <c r="DJ1" s="13" t="s">
        <v>56</v>
      </c>
      <c r="DK1" s="13"/>
      <c r="DL1" s="13" t="s">
        <v>57</v>
      </c>
      <c r="DM1" s="13"/>
      <c r="DN1" s="13" t="s">
        <v>58</v>
      </c>
      <c r="DO1" s="13"/>
      <c r="DP1" s="13" t="s">
        <v>59</v>
      </c>
      <c r="DQ1" s="13"/>
      <c r="DR1" s="13" t="s">
        <v>60</v>
      </c>
      <c r="DS1" s="13"/>
      <c r="DT1" s="13" t="s">
        <v>61</v>
      </c>
      <c r="DU1" s="13"/>
      <c r="DV1" s="13" t="s">
        <v>62</v>
      </c>
      <c r="DW1" s="13"/>
      <c r="DX1" s="13" t="s">
        <v>63</v>
      </c>
      <c r="DY1" s="13"/>
      <c r="DZ1" s="13" t="s">
        <v>64</v>
      </c>
      <c r="EA1" s="13"/>
      <c r="EB1" s="13" t="s">
        <v>65</v>
      </c>
      <c r="EC1" s="13"/>
      <c r="ED1" s="13" t="s">
        <v>66</v>
      </c>
      <c r="EE1" s="13"/>
      <c r="EF1" s="13" t="s">
        <v>67</v>
      </c>
      <c r="EG1" s="13"/>
      <c r="EH1" s="13" t="s">
        <v>68</v>
      </c>
      <c r="EI1" s="13"/>
      <c r="EJ1" s="13" t="s">
        <v>69</v>
      </c>
      <c r="EK1" s="13"/>
      <c r="EL1" s="14"/>
      <c r="EM1" s="14"/>
      <c r="EN1" s="14"/>
      <c r="EO1" s="14"/>
      <c r="EP1" s="14"/>
      <c r="EQ1" s="14"/>
      <c r="ER1" s="14"/>
      <c r="ES1" s="14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  <c r="GA1" s="15"/>
      <c r="GB1" s="15"/>
      <c r="GC1" s="15"/>
      <c r="GD1" s="15"/>
      <c r="GE1" s="15"/>
      <c r="GF1" s="15"/>
      <c r="GG1" s="15"/>
      <c r="GH1" s="15"/>
      <c r="GI1" s="15"/>
      <c r="GJ1" s="15"/>
      <c r="GK1" s="15"/>
      <c r="GL1" s="15"/>
      <c r="GM1" s="15"/>
      <c r="GN1" s="15"/>
      <c r="GO1" s="15"/>
      <c r="GP1" s="15"/>
      <c r="GQ1" s="15"/>
      <c r="GR1" s="15"/>
      <c r="GS1" s="15"/>
      <c r="GT1" s="15"/>
      <c r="GU1" s="15"/>
      <c r="GV1" s="15"/>
      <c r="GW1" s="15"/>
      <c r="GX1" s="15"/>
      <c r="GY1" s="15"/>
      <c r="GZ1" s="15"/>
      <c r="HA1" s="15"/>
      <c r="HB1" s="15"/>
      <c r="HC1" s="15"/>
      <c r="HD1" s="15"/>
      <c r="HE1" s="15"/>
      <c r="HF1" s="15"/>
      <c r="HG1" s="15"/>
      <c r="HH1" s="15"/>
      <c r="HI1" s="15"/>
      <c r="HJ1" s="15"/>
      <c r="HK1" s="15"/>
    </row>
    <row r="2" spans="1:219" s="3" customFormat="1" ht="30" customHeight="1" x14ac:dyDescent="0.4">
      <c r="A2" s="10" t="s">
        <v>70</v>
      </c>
      <c r="B2" s="7">
        <v>0</v>
      </c>
      <c r="C2" s="25"/>
      <c r="D2" s="7">
        <v>1</v>
      </c>
      <c r="E2" s="6"/>
      <c r="F2" s="7">
        <v>2</v>
      </c>
      <c r="G2" s="6"/>
      <c r="H2" s="7">
        <v>3</v>
      </c>
      <c r="I2" s="6"/>
      <c r="J2" s="7">
        <v>4</v>
      </c>
      <c r="K2" s="6"/>
      <c r="L2" s="7">
        <v>5</v>
      </c>
      <c r="M2" s="6"/>
      <c r="N2" s="7">
        <v>6</v>
      </c>
      <c r="O2" s="6"/>
      <c r="P2" s="7">
        <v>7</v>
      </c>
      <c r="Q2" s="6"/>
      <c r="R2" s="7">
        <v>8</v>
      </c>
      <c r="S2" s="6"/>
      <c r="T2" s="7">
        <v>9</v>
      </c>
      <c r="U2" s="6"/>
      <c r="V2" s="7">
        <v>10</v>
      </c>
      <c r="W2" s="6"/>
      <c r="X2" s="7">
        <v>11</v>
      </c>
      <c r="Y2" s="6"/>
      <c r="Z2" s="7">
        <v>12</v>
      </c>
      <c r="AA2" s="6"/>
      <c r="AB2" s="7">
        <v>13</v>
      </c>
      <c r="AC2" s="6"/>
      <c r="AD2" s="7">
        <v>14</v>
      </c>
      <c r="AE2" s="6"/>
      <c r="AF2" s="7">
        <v>15</v>
      </c>
      <c r="AG2" s="6"/>
      <c r="AH2" s="7">
        <v>16</v>
      </c>
      <c r="AI2" s="6"/>
      <c r="AJ2" s="7">
        <v>17</v>
      </c>
      <c r="AK2" s="6"/>
      <c r="AL2" s="7">
        <v>18</v>
      </c>
      <c r="AM2" s="6"/>
      <c r="AN2" s="7">
        <v>19</v>
      </c>
      <c r="AO2" s="6"/>
      <c r="AP2" s="7">
        <v>20</v>
      </c>
      <c r="AQ2" s="6"/>
      <c r="AR2" s="7">
        <v>21</v>
      </c>
      <c r="AS2" s="6"/>
      <c r="AT2" s="7">
        <v>22</v>
      </c>
      <c r="AU2" s="6"/>
      <c r="AV2" s="7">
        <v>23</v>
      </c>
      <c r="AW2" s="6"/>
      <c r="AX2" s="7">
        <v>24</v>
      </c>
      <c r="AY2" s="6"/>
      <c r="AZ2" s="7">
        <v>25</v>
      </c>
      <c r="BA2" s="6"/>
      <c r="BB2" s="7">
        <v>26</v>
      </c>
      <c r="BC2" s="6"/>
      <c r="BD2" s="7">
        <v>27</v>
      </c>
      <c r="BE2" s="6"/>
      <c r="BF2" s="7">
        <v>28</v>
      </c>
      <c r="BG2" s="6"/>
      <c r="BH2" s="7">
        <v>29</v>
      </c>
      <c r="BI2" s="6"/>
      <c r="BJ2" s="7">
        <v>30</v>
      </c>
      <c r="BK2" s="6"/>
      <c r="BL2" s="7">
        <v>31</v>
      </c>
      <c r="BM2" s="6"/>
      <c r="BN2" s="7">
        <v>32</v>
      </c>
      <c r="BO2" s="6"/>
      <c r="BP2" s="7">
        <v>33</v>
      </c>
      <c r="BQ2" s="6"/>
      <c r="BR2" s="7">
        <v>34</v>
      </c>
      <c r="BS2" s="6"/>
      <c r="BT2" s="7">
        <v>35</v>
      </c>
      <c r="BU2" s="6"/>
      <c r="BV2" s="7">
        <v>36</v>
      </c>
      <c r="BW2" s="6"/>
      <c r="BX2" s="7">
        <v>37</v>
      </c>
      <c r="BY2" s="6"/>
      <c r="BZ2" s="7">
        <v>38</v>
      </c>
      <c r="CA2" s="6"/>
      <c r="CB2" s="7">
        <v>39</v>
      </c>
      <c r="CC2" s="6"/>
      <c r="CD2" s="7">
        <v>40</v>
      </c>
      <c r="CE2" s="6"/>
      <c r="CF2" s="7">
        <v>41</v>
      </c>
      <c r="CG2" s="6"/>
      <c r="CH2" s="7">
        <v>42</v>
      </c>
      <c r="CI2" s="6"/>
      <c r="CJ2" s="7">
        <v>43</v>
      </c>
      <c r="CK2" s="6"/>
      <c r="CL2" s="7">
        <v>44</v>
      </c>
      <c r="CM2" s="6"/>
      <c r="CN2" s="7">
        <v>45</v>
      </c>
      <c r="CO2" s="6"/>
      <c r="CP2" s="7">
        <v>46</v>
      </c>
      <c r="CQ2" s="6"/>
      <c r="CR2" s="7">
        <v>47</v>
      </c>
      <c r="CS2" s="6"/>
      <c r="CT2" s="7">
        <v>48</v>
      </c>
      <c r="CU2" s="6"/>
      <c r="CV2" s="7">
        <v>49</v>
      </c>
      <c r="CW2" s="6"/>
      <c r="CX2" s="7">
        <v>50</v>
      </c>
      <c r="CY2" s="6"/>
      <c r="CZ2" s="7">
        <v>51</v>
      </c>
      <c r="DA2" s="6"/>
      <c r="DB2" s="7">
        <v>52</v>
      </c>
      <c r="DC2" s="6"/>
      <c r="DD2" s="7">
        <v>53</v>
      </c>
      <c r="DE2" s="6"/>
      <c r="DF2" s="7">
        <v>54</v>
      </c>
      <c r="DG2" s="6"/>
      <c r="DH2" s="7">
        <v>55</v>
      </c>
      <c r="DI2" s="6"/>
      <c r="DJ2" s="7">
        <v>56</v>
      </c>
      <c r="DK2" s="6"/>
      <c r="DL2" s="7">
        <v>57</v>
      </c>
      <c r="DM2" s="6"/>
      <c r="DN2" s="7">
        <v>58</v>
      </c>
      <c r="DO2" s="6"/>
      <c r="DP2" s="7">
        <v>59</v>
      </c>
      <c r="DQ2" s="6"/>
      <c r="DR2" s="7">
        <v>60</v>
      </c>
      <c r="DS2" s="6"/>
      <c r="DT2" s="7">
        <v>61</v>
      </c>
      <c r="DU2" s="6"/>
      <c r="DV2" s="7">
        <v>62</v>
      </c>
      <c r="DW2" s="6"/>
      <c r="DX2" s="7">
        <v>63</v>
      </c>
      <c r="DY2" s="6"/>
      <c r="DZ2" s="7">
        <v>64</v>
      </c>
      <c r="EA2" s="6"/>
      <c r="EB2" s="7">
        <v>65</v>
      </c>
      <c r="EC2" s="6"/>
      <c r="ED2" s="7">
        <v>66</v>
      </c>
      <c r="EE2" s="6"/>
      <c r="EF2" s="7">
        <v>67</v>
      </c>
      <c r="EG2" s="6"/>
      <c r="EH2" s="7">
        <v>68</v>
      </c>
      <c r="EI2" s="6"/>
      <c r="EJ2" s="7">
        <v>69</v>
      </c>
      <c r="EK2" s="6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</row>
    <row r="3" spans="1:219" ht="30" customHeight="1" x14ac:dyDescent="0.4">
      <c r="A3" s="9" t="s">
        <v>71</v>
      </c>
      <c r="B3" s="7" t="s">
        <v>72</v>
      </c>
      <c r="C3" s="6" t="str">
        <f>_xlfn.XLOOKUP(B3,対応表!$B:$B,対応表!$C:$C," ")</f>
        <v>こ</v>
      </c>
      <c r="D3" s="7" t="s">
        <v>73</v>
      </c>
      <c r="E3" s="6" t="str">
        <f>_xlfn.XLOOKUP(D3,対応表!$B:$B,対応表!$C:$C," ")</f>
        <v>び</v>
      </c>
      <c r="F3" s="7" t="s">
        <v>74</v>
      </c>
      <c r="G3" s="6" t="str">
        <f>_xlfn.XLOOKUP(F3,対応表!$B:$B,対応表!$C:$C,"。")</f>
        <v>。</v>
      </c>
      <c r="H3" s="7" t="s">
        <v>1877</v>
      </c>
      <c r="I3" s="6" t="str">
        <f>_xlfn.XLOOKUP(H3,対応表!$B:$B,対応表!$C:$C,"が")</f>
        <v>が</v>
      </c>
      <c r="J3" s="7" t="s">
        <v>75</v>
      </c>
      <c r="K3" s="20" t="str">
        <f>_xlfn.XLOOKUP(J3,対応表!$B:$B,対応表!$C:$C," ")</f>
        <v>せ</v>
      </c>
      <c r="L3" s="7" t="s">
        <v>76</v>
      </c>
      <c r="M3" s="21" t="s">
        <v>77</v>
      </c>
      <c r="N3" s="7" t="s">
        <v>78</v>
      </c>
      <c r="O3" s="6" t="str">
        <f>_xlfn.XLOOKUP(N3,対応表!$B:$B,対応表!$C:$C," ")</f>
        <v>営</v>
      </c>
      <c r="P3" s="7" t="s">
        <v>79</v>
      </c>
      <c r="Q3" s="6" t="str">
        <f>_xlfn.XLOOKUP(P3,対応表!$B:$B,対応表!$C:$C," ")</f>
        <v xml:space="preserve"> </v>
      </c>
      <c r="R3" s="7" t="s">
        <v>80</v>
      </c>
      <c r="S3" s="6" t="str">
        <f>_xlfn.XLOOKUP(R3,対応表!$B:$B,対応表!$C:$C," ")</f>
        <v>ど</v>
      </c>
      <c r="T3" s="7" t="s">
        <v>82</v>
      </c>
      <c r="U3" s="6" t="str">
        <f>_xlfn.XLOOKUP(T3,対応表!$B:$B,対応表!$C:$C," ")</f>
        <v xml:space="preserve"> </v>
      </c>
      <c r="V3" s="7" t="s">
        <v>83</v>
      </c>
      <c r="W3" s="6" t="str">
        <f>_xlfn.XLOOKUP(V3,対応表!$B:$B,対応表!$C:$C," ")</f>
        <v xml:space="preserve"> </v>
      </c>
      <c r="X3" s="17" t="s">
        <v>84</v>
      </c>
      <c r="Y3" s="6" t="str">
        <f>_xlfn.XLOOKUP(X3,対応表!$B:$B,対応表!$C:$C," ")</f>
        <v xml:space="preserve"> </v>
      </c>
      <c r="Z3" s="7" t="s">
        <v>85</v>
      </c>
      <c r="AA3" s="6" t="str">
        <f>_xlfn.XLOOKUP(Z3,対応表!$B:$B,対応表!$C:$C," ")</f>
        <v>身</v>
      </c>
      <c r="AB3" s="17" t="s">
        <v>86</v>
      </c>
      <c r="AC3" s="6" t="str">
        <f>_xlfn.XLOOKUP(AB3,対応表!$B:$B,対応表!$C:$C," ")</f>
        <v xml:space="preserve"> </v>
      </c>
      <c r="AD3" s="7" t="s">
        <v>87</v>
      </c>
      <c r="AE3" s="6" t="str">
        <f>_xlfn.XLOOKUP(AD3,対応表!$B:$B,対応表!$C:$C," ")</f>
        <v xml:space="preserve"> </v>
      </c>
      <c r="AF3" s="7" t="s">
        <v>88</v>
      </c>
      <c r="AG3" s="6" t="str">
        <f>_xlfn.XLOOKUP(AF3,対応表!$B:$B,対応表!$C:$C," ")</f>
        <v xml:space="preserve"> </v>
      </c>
      <c r="AH3" s="7" t="s">
        <v>89</v>
      </c>
      <c r="AI3" s="6" t="str">
        <f>_xlfn.XLOOKUP(AH3,対応表!$B:$B,対応表!$C:$C," ")</f>
        <v xml:space="preserve"> </v>
      </c>
      <c r="AJ3" s="17" t="s">
        <v>90</v>
      </c>
      <c r="AK3" s="6" t="str">
        <f>_xlfn.XLOOKUP(AJ3,対応表!$B:$B,対応表!$C:$C," ")</f>
        <v xml:space="preserve"> </v>
      </c>
      <c r="AL3" s="7" t="s">
        <v>91</v>
      </c>
      <c r="AM3" s="6" t="str">
        <f>_xlfn.XLOOKUP(AL3,対応表!$B:$B,対応表!$C:$C," ")</f>
        <v xml:space="preserve"> </v>
      </c>
      <c r="AN3" s="17" t="s">
        <v>92</v>
      </c>
      <c r="AO3" s="6" t="str">
        <f>_xlfn.XLOOKUP(AN3,対応表!$B:$B,対応表!$C:$C," ")</f>
        <v xml:space="preserve"> </v>
      </c>
      <c r="AP3" s="7" t="s">
        <v>93</v>
      </c>
      <c r="AQ3" s="6" t="str">
        <f>_xlfn.XLOOKUP(AP3,対応表!$B:$B,対応表!$C:$C," ")</f>
        <v xml:space="preserve"> </v>
      </c>
      <c r="AR3" s="7" t="s">
        <v>94</v>
      </c>
      <c r="AS3" s="6" t="str">
        <f>_xlfn.XLOOKUP(AR3,対応表!$B:$B,対応表!$C:$C," ")</f>
        <v>内</v>
      </c>
      <c r="AT3" s="7" t="s">
        <v>95</v>
      </c>
      <c r="AU3" s="6" t="str">
        <f>_xlfn.XLOOKUP(AT3,対応表!$B:$B,対応表!$C:$C," ")</f>
        <v>[侸]?</v>
      </c>
      <c r="AV3" s="7" t="s">
        <v>96</v>
      </c>
      <c r="AW3" s="6" t="str">
        <f>_xlfn.XLOOKUP(AV3,対応表!$B:$B,対応表!$C:$C," ")</f>
        <v xml:space="preserve"> </v>
      </c>
      <c r="AX3" s="7" t="s">
        <v>97</v>
      </c>
      <c r="AY3" s="6" t="str">
        <f>_xlfn.XLOOKUP(AX3,対応表!$B:$B,対応表!$C:$C," ")</f>
        <v xml:space="preserve"> </v>
      </c>
      <c r="AZ3" s="7" t="s">
        <v>98</v>
      </c>
      <c r="BA3" s="6" t="str">
        <f>_xlfn.XLOOKUP(AZ3,対応表!$B:$B,対応表!$C:$C," ")</f>
        <v xml:space="preserve"> </v>
      </c>
      <c r="BB3" s="7" t="s">
        <v>99</v>
      </c>
      <c r="BC3" s="6" t="str">
        <f>_xlfn.XLOOKUP(BB3,対応表!$B:$B,対応表!$C:$C," ")</f>
        <v>む</v>
      </c>
      <c r="BD3" s="7" t="s">
        <v>100</v>
      </c>
      <c r="BE3" s="6" t="str">
        <f>_xlfn.XLOOKUP(BD3,対応表!$B:$B,対応表!$C:$C," ")</f>
        <v xml:space="preserve"> </v>
      </c>
      <c r="BF3" s="17" t="s">
        <v>101</v>
      </c>
      <c r="BG3" s="6" t="str">
        <f>_xlfn.XLOOKUP(BF3,対応表!$B:$B,対応表!$C:$C," ")</f>
        <v xml:space="preserve"> </v>
      </c>
      <c r="BH3" s="17" t="s">
        <v>102</v>
      </c>
      <c r="BI3" s="6" t="str">
        <f>_xlfn.XLOOKUP(BH3,対応表!$B:$B,対応表!$C:$C," ")</f>
        <v>明</v>
      </c>
      <c r="BJ3" s="7" t="s">
        <v>103</v>
      </c>
      <c r="BK3" s="6" t="str">
        <f>_xlfn.XLOOKUP(BJ3,対応表!$B:$B,対応表!$C:$C," ")</f>
        <v xml:space="preserve"> </v>
      </c>
      <c r="BL3" s="7" t="s">
        <v>104</v>
      </c>
      <c r="BM3" s="6" t="str">
        <f>_xlfn.XLOOKUP(BL3,対応表!$B:$B,対応表!$C:$C," ")</f>
        <v>価</v>
      </c>
      <c r="BN3" s="7" t="s">
        <v>105</v>
      </c>
      <c r="BO3" s="6" t="str">
        <f>_xlfn.XLOOKUP(BN3,対応表!$B:$B,対応表!$C:$C," ")</f>
        <v xml:space="preserve"> </v>
      </c>
      <c r="BP3" s="7" t="s">
        <v>106</v>
      </c>
      <c r="BQ3" s="6" t="str">
        <f>_xlfn.XLOOKUP(BP3,対応表!$B:$B,対応表!$C:$C," ")</f>
        <v xml:space="preserve"> </v>
      </c>
      <c r="BR3" s="7" t="s">
        <v>107</v>
      </c>
      <c r="BS3" s="6" t="str">
        <f>_xlfn.XLOOKUP(BR3,対応表!$B:$B,対応表!$C:$C," ")</f>
        <v xml:space="preserve"> </v>
      </c>
      <c r="BT3" s="7" t="s">
        <v>108</v>
      </c>
      <c r="BU3" s="6" t="str">
        <f>_xlfn.XLOOKUP(BT3,対応表!$B:$B,対応表!$C:$C," ")</f>
        <v xml:space="preserve"> </v>
      </c>
      <c r="BV3" s="7" t="s">
        <v>109</v>
      </c>
      <c r="BW3" s="6" t="str">
        <f>_xlfn.XLOOKUP(BV3,対応表!$B:$B,対応表!$C:$C," ")</f>
        <v xml:space="preserve"> </v>
      </c>
      <c r="BX3" s="7" t="s">
        <v>110</v>
      </c>
      <c r="BY3" s="6" t="str">
        <f>_xlfn.XLOOKUP(BX3,対応表!$B:$B,対応表!$C:$C," ")</f>
        <v>寄?</v>
      </c>
      <c r="BZ3" s="7" t="s">
        <v>111</v>
      </c>
      <c r="CA3" s="6" t="str">
        <f>_xlfn.XLOOKUP(BZ3,対応表!$B:$B,対応表!$C:$C," ")</f>
        <v xml:space="preserve"> </v>
      </c>
      <c r="CB3" s="7" t="s">
        <v>112</v>
      </c>
      <c r="CC3" s="6" t="str">
        <f>_xlfn.XLOOKUP(CB3,対応表!$B:$B,対応表!$C:$C," ")</f>
        <v>祭</v>
      </c>
      <c r="CD3" s="7" t="s">
        <v>113</v>
      </c>
      <c r="CE3" s="6" t="str">
        <f>_xlfn.XLOOKUP(CD3,対応表!$B:$B,対応表!$C:$C," ")</f>
        <v xml:space="preserve"> </v>
      </c>
      <c r="CF3" s="7" t="s">
        <v>114</v>
      </c>
      <c r="CG3" s="6" t="str">
        <f>_xlfn.XLOOKUP(CF3,対応表!$B:$B,対応表!$C:$C," ")</f>
        <v xml:space="preserve"> </v>
      </c>
      <c r="CH3" s="7" t="s">
        <v>115</v>
      </c>
      <c r="CI3" s="6" t="str">
        <f>_xlfn.XLOOKUP(CH3,対応表!$B:$B,対応表!$C:$C," ")</f>
        <v xml:space="preserve"> </v>
      </c>
      <c r="CJ3" s="7" t="s">
        <v>116</v>
      </c>
      <c r="CK3" s="6" t="str">
        <f>_xlfn.XLOOKUP(CJ3,対応表!$B:$B,対応表!$C:$C," ")</f>
        <v xml:space="preserve"> </v>
      </c>
      <c r="CL3" s="7" t="s">
        <v>117</v>
      </c>
      <c r="CM3" s="6" t="str">
        <f>_xlfn.XLOOKUP(CL3,対応表!$B:$B,対応表!$C:$C," ")</f>
        <v>わ</v>
      </c>
      <c r="CN3" s="7" t="s">
        <v>118</v>
      </c>
      <c r="CO3" s="6" t="str">
        <f>_xlfn.XLOOKUP(CN3,対応表!$B:$B,対応表!$C:$C," ")</f>
        <v xml:space="preserve"> </v>
      </c>
      <c r="CP3" s="7" t="s">
        <v>119</v>
      </c>
      <c r="CQ3" s="6" t="str">
        <f>_xlfn.XLOOKUP(CP3,対応表!$B:$B,対応表!$C:$C," ")</f>
        <v xml:space="preserve"> </v>
      </c>
      <c r="CR3" s="7" t="s">
        <v>120</v>
      </c>
      <c r="CS3" s="6" t="str">
        <f>_xlfn.XLOOKUP(CR3,対応表!$B:$B,対応表!$C:$C," ")</f>
        <v xml:space="preserve"> </v>
      </c>
      <c r="CT3" s="7" t="s">
        <v>121</v>
      </c>
      <c r="CU3" s="6" t="str">
        <f>_xlfn.XLOOKUP(CT3,対応表!$B:$B,対応表!$C:$C," ")</f>
        <v xml:space="preserve"> </v>
      </c>
      <c r="CV3" s="7" t="s">
        <v>122</v>
      </c>
      <c r="CW3" s="6" t="str">
        <f>_xlfn.XLOOKUP(CV3,対応表!$B:$B,対応表!$C:$C," ")</f>
        <v xml:space="preserve"> </v>
      </c>
      <c r="CX3" s="17" t="s">
        <v>123</v>
      </c>
      <c r="CY3" s="6" t="str">
        <f>_xlfn.XLOOKUP(CX3,対応表!$B:$B,対応表!$C:$C," ")</f>
        <v xml:space="preserve"> </v>
      </c>
      <c r="CZ3" s="7" t="s">
        <v>124</v>
      </c>
      <c r="DA3" s="6" t="str">
        <f>_xlfn.XLOOKUP(CZ3,対応表!$B:$B,対応表!$C:$C," ")</f>
        <v xml:space="preserve"> </v>
      </c>
      <c r="DB3" s="7" t="s">
        <v>125</v>
      </c>
      <c r="DC3" s="6" t="str">
        <f>_xlfn.XLOOKUP(DB3,対応表!$B:$B,対応表!$C:$C," ")</f>
        <v xml:space="preserve"> </v>
      </c>
      <c r="DD3" s="7" t="s">
        <v>126</v>
      </c>
      <c r="DE3" s="6" t="str">
        <f>_xlfn.XLOOKUP(DD3,対応表!$B:$B,対応表!$C:$C," ")</f>
        <v xml:space="preserve"> </v>
      </c>
      <c r="DF3" s="7" t="s">
        <v>127</v>
      </c>
      <c r="DG3" s="6" t="str">
        <f>_xlfn.XLOOKUP(DF3,対応表!$B:$B,対応表!$C:$C," ")</f>
        <v xml:space="preserve"> </v>
      </c>
      <c r="DH3" s="7" t="s">
        <v>128</v>
      </c>
      <c r="DI3" s="6" t="str">
        <f>_xlfn.XLOOKUP(DH3,対応表!$B:$B,対応表!$C:$C," ")</f>
        <v xml:space="preserve"> </v>
      </c>
      <c r="DJ3" s="7" t="s">
        <v>129</v>
      </c>
      <c r="DK3" s="6" t="str">
        <f>_xlfn.XLOOKUP(DJ3,対応表!$B:$B,対応表!$C:$C," ")</f>
        <v>決?</v>
      </c>
      <c r="DL3" s="7" t="s">
        <v>130</v>
      </c>
      <c r="DM3" s="6" t="str">
        <f>_xlfn.XLOOKUP(DL3,対応表!$B:$B,対応表!$C:$C," ")</f>
        <v xml:space="preserve"> </v>
      </c>
      <c r="DN3" s="7" t="s">
        <v>131</v>
      </c>
      <c r="DO3" s="6" t="str">
        <f>_xlfn.XLOOKUP(DN3,対応表!$B:$B,対応表!$C:$C," ")</f>
        <v>情?</v>
      </c>
      <c r="DP3" s="7" t="s">
        <v>132</v>
      </c>
      <c r="DQ3" s="6" t="str">
        <f>_xlfn.XLOOKUP(DP3,対応表!$B:$B,対応表!$C:$C," ")</f>
        <v xml:space="preserve"> </v>
      </c>
      <c r="DR3" s="7" t="s">
        <v>133</v>
      </c>
      <c r="DS3" s="6" t="str">
        <f>_xlfn.XLOOKUP(DR3,対応表!$B:$B,対応表!$C:$C," ")</f>
        <v xml:space="preserve"> </v>
      </c>
      <c r="DT3" s="7" t="s">
        <v>134</v>
      </c>
      <c r="DU3" s="6" t="str">
        <f>_xlfn.XLOOKUP(DT3,対応表!$B:$B,対応表!$C:$C," ")</f>
        <v xml:space="preserve"> </v>
      </c>
      <c r="DV3" s="7" t="s">
        <v>135</v>
      </c>
      <c r="DW3" s="6" t="str">
        <f>_xlfn.XLOOKUP(DV3,対応表!$B:$B,対応表!$C:$C," ")</f>
        <v xml:space="preserve"> </v>
      </c>
      <c r="DX3" s="7" t="s">
        <v>136</v>
      </c>
      <c r="DY3" s="6" t="str">
        <f>_xlfn.XLOOKUP(DX3,対応表!$B:$B,対応表!$C:$C," ")</f>
        <v xml:space="preserve"> </v>
      </c>
      <c r="DZ3" s="7" t="s">
        <v>137</v>
      </c>
      <c r="EA3" s="6" t="str">
        <f>_xlfn.XLOOKUP(DZ3,対応表!$B:$B,対応表!$C:$C," ")</f>
        <v xml:space="preserve"> </v>
      </c>
      <c r="EB3" s="7" t="s">
        <v>138</v>
      </c>
      <c r="EC3" s="6" t="str">
        <f>_xlfn.XLOOKUP(EB3,対応表!$B:$B,対応表!$C:$C," ")</f>
        <v xml:space="preserve"> </v>
      </c>
      <c r="ED3" s="7" t="s">
        <v>139</v>
      </c>
      <c r="EE3" s="6" t="str">
        <f>_xlfn.XLOOKUP(ED3,対応表!$B:$B,対応表!$C:$C," ")</f>
        <v xml:space="preserve"> </v>
      </c>
      <c r="EF3" s="7" t="s">
        <v>140</v>
      </c>
      <c r="EG3" s="6" t="str">
        <f>_xlfn.XLOOKUP(EF3,対応表!$B:$B,対応表!$C:$C," ")</f>
        <v xml:space="preserve"> </v>
      </c>
      <c r="EH3" s="7" t="s">
        <v>141</v>
      </c>
      <c r="EI3" s="6" t="str">
        <f>_xlfn.XLOOKUP(EH3,対応表!$B:$B,対応表!$C:$C," ")</f>
        <v xml:space="preserve"> </v>
      </c>
      <c r="EJ3" s="17" t="s">
        <v>142</v>
      </c>
      <c r="EK3" s="6" t="str">
        <f>_xlfn.XLOOKUP(EJ3,対応表!$B:$B,対応表!$C:$C," ")</f>
        <v xml:space="preserve"> </v>
      </c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</row>
    <row r="4" spans="1:219" ht="30" customHeight="1" x14ac:dyDescent="0.4">
      <c r="A4" s="9" t="s">
        <v>143</v>
      </c>
      <c r="B4" s="7" t="s">
        <v>144</v>
      </c>
      <c r="C4" s="6" t="str">
        <f>_xlfn.XLOOKUP(B4,対応表!$B:$B,対応表!$C:$C,"こ")</f>
        <v>こ</v>
      </c>
      <c r="D4" s="7" t="s">
        <v>145</v>
      </c>
      <c r="E4" s="6" t="str" cm="1">
        <f t="array" ref="E4">_xlfn.XLOOKUP(D4,対応表!$B:B,対応表!$C:C," ")</f>
        <v>る</v>
      </c>
      <c r="F4" s="7" t="s">
        <v>146</v>
      </c>
      <c r="G4" s="6" t="str">
        <f>_xlfn.XLOOKUP(F4,対応表!$B:$B,対応表!$C:$C," ")</f>
        <v>第</v>
      </c>
      <c r="H4" s="7" t="s">
        <v>147</v>
      </c>
      <c r="I4" s="6" t="str">
        <f>_xlfn.XLOOKUP(H4,対応表!$B:$B,対応表!$C:$C," ")</f>
        <v>ぼ</v>
      </c>
      <c r="J4" s="7" t="s">
        <v>148</v>
      </c>
      <c r="K4" s="6" t="str">
        <f>_xlfn.XLOOKUP(J4,対応表!$B:$B,対応表!$C:$C," ")</f>
        <v xml:space="preserve"> </v>
      </c>
      <c r="L4" s="7" t="s">
        <v>149</v>
      </c>
      <c r="M4" s="6" t="str">
        <f>_xlfn.XLOOKUP(L4,対応表!$B:$B,対応表!$C:$C," ")</f>
        <v>ば</v>
      </c>
      <c r="N4" s="7" t="s">
        <v>150</v>
      </c>
      <c r="O4" s="6" t="str">
        <f>_xlfn.XLOOKUP(N4,対応表!$B:$B,対応表!$C:$C," ")</f>
        <v>み</v>
      </c>
      <c r="P4" s="7" t="s">
        <v>151</v>
      </c>
      <c r="Q4" s="6" t="str">
        <f>_xlfn.XLOOKUP(P4,対応表!$B:$B,対応表!$C:$C," ")</f>
        <v xml:space="preserve"> </v>
      </c>
      <c r="R4" s="7" t="s">
        <v>152</v>
      </c>
      <c r="S4" s="6" t="str">
        <f>_xlfn.XLOOKUP(R4,対応表!$B:$B,対応表!$C:$C," ")</f>
        <v>満</v>
      </c>
      <c r="T4" s="7" t="s">
        <v>153</v>
      </c>
      <c r="U4" s="6" t="str">
        <f>_xlfn.XLOOKUP(T4,対応表!$B:$B,対応表!$C:$C," ")</f>
        <v>斬?</v>
      </c>
      <c r="V4" s="7" t="s">
        <v>154</v>
      </c>
      <c r="W4" s="6" t="str">
        <f>_xlfn.XLOOKUP(V4,対応表!$B:$B,対応表!$C:$C," ")</f>
        <v xml:space="preserve"> </v>
      </c>
      <c r="X4" s="7" t="s">
        <v>155</v>
      </c>
      <c r="Y4" s="6" t="str">
        <f>_xlfn.XLOOKUP(X4,対応表!$B:$B,対応表!$C:$C," ")</f>
        <v>っ</v>
      </c>
      <c r="Z4" s="7" t="s">
        <v>156</v>
      </c>
      <c r="AA4" s="6" t="str">
        <f>_xlfn.XLOOKUP(Z4,対応表!$B:$B,対応表!$C:$C,"に")</f>
        <v>に</v>
      </c>
      <c r="AB4" s="7" t="s">
        <v>157</v>
      </c>
      <c r="AC4" s="6" t="str">
        <f>_xlfn.XLOOKUP(AB4,対応表!$B:$B,対応表!$C:$C," ")</f>
        <v>心</v>
      </c>
      <c r="AD4" s="7" t="s">
        <v>158</v>
      </c>
      <c r="AE4" s="6" t="str">
        <f>_xlfn.XLOOKUP(AD4,対応表!$B:$B,対応表!$C:$C," ")</f>
        <v xml:space="preserve"> </v>
      </c>
      <c r="AF4" s="7" t="s">
        <v>159</v>
      </c>
      <c r="AG4" s="6" t="str">
        <f>_xlfn.XLOOKUP(AF4,対応表!$B:$B,対応表!$C:$C," ")</f>
        <v>[伭]?</v>
      </c>
      <c r="AH4" s="7" t="s">
        <v>160</v>
      </c>
      <c r="AI4" s="6" t="str">
        <f>_xlfn.XLOOKUP(AH4,対応表!$B:$B,対応表!$C:$C," ")</f>
        <v>[佁]?</v>
      </c>
      <c r="AJ4" s="7" t="s">
        <v>161</v>
      </c>
      <c r="AK4" s="6" t="str">
        <f>_xlfn.XLOOKUP(AJ4,対応表!$B:$B,対応表!$C:$C," ")</f>
        <v xml:space="preserve"> </v>
      </c>
      <c r="AL4" s="7" t="s">
        <v>162</v>
      </c>
      <c r="AM4" s="6" t="str">
        <f>_xlfn.XLOOKUP(AL4,対応表!$B:$B,対応表!$C:$C," ")</f>
        <v xml:space="preserve"> </v>
      </c>
      <c r="AN4" s="7" t="s">
        <v>163</v>
      </c>
      <c r="AO4" s="6" t="str">
        <f>_xlfn.XLOOKUP(AN4,対応表!$B:$B,対応表!$C:$C," ")</f>
        <v xml:space="preserve"> </v>
      </c>
      <c r="AP4" s="7" t="s">
        <v>164</v>
      </c>
      <c r="AQ4" s="6" t="str">
        <f>_xlfn.XLOOKUP(AP4,対応表!$B:$B,対応表!$C:$C," ")</f>
        <v xml:space="preserve"> </v>
      </c>
      <c r="AR4" s="7" t="s">
        <v>165</v>
      </c>
      <c r="AS4" s="6" t="str">
        <f>_xlfn.XLOOKUP(AR4,対応表!$B:$B,対応表!$C:$C,"に")</f>
        <v>に</v>
      </c>
      <c r="AT4" s="7" t="s">
        <v>166</v>
      </c>
      <c r="AU4" s="6" t="str">
        <f>_xlfn.XLOOKUP(AT4,対応表!$B:$B,対応表!$C:$C," ")</f>
        <v xml:space="preserve"> </v>
      </c>
      <c r="AV4" s="7" t="s">
        <v>167</v>
      </c>
      <c r="AW4" s="6" t="str">
        <f>_xlfn.XLOOKUP(AV4,対応表!$B:$B,対応表!$C:$C," ")</f>
        <v xml:space="preserve"> </v>
      </c>
      <c r="AX4" s="7" t="s">
        <v>168</v>
      </c>
      <c r="AY4" s="6" t="str">
        <f>_xlfn.XLOOKUP(AX4,対応表!$B:$B,対応表!$C:$C," ")</f>
        <v xml:space="preserve"> </v>
      </c>
      <c r="AZ4" s="7" t="s">
        <v>169</v>
      </c>
      <c r="BA4" s="6" t="str">
        <f>_xlfn.XLOOKUP(AZ4,対応表!$B:$B,対応表!$C:$C," ")</f>
        <v xml:space="preserve"> </v>
      </c>
      <c r="BB4" s="7" t="s">
        <v>170</v>
      </c>
      <c r="BC4" s="6" t="str">
        <f>_xlfn.XLOOKUP(BB4,対応表!$B:$B,対応表!$C:$C," ")</f>
        <v xml:space="preserve"> </v>
      </c>
      <c r="BD4" s="7" t="s">
        <v>171</v>
      </c>
      <c r="BE4" s="6" t="str">
        <f>_xlfn.XLOOKUP(BD4,対応表!$B:$B,対応表!$C:$C," ")</f>
        <v xml:space="preserve"> </v>
      </c>
      <c r="BF4" s="7" t="s">
        <v>172</v>
      </c>
      <c r="BG4" s="6" t="str">
        <f>_xlfn.XLOOKUP(BF4,対応表!$B:$B,対応表!$C:$C," ")</f>
        <v xml:space="preserve"> </v>
      </c>
      <c r="BH4" s="7" t="s">
        <v>173</v>
      </c>
      <c r="BI4" s="6" t="str">
        <f>_xlfn.XLOOKUP(BH4,対応表!$B:$B,対応表!$C:$C," ")</f>
        <v xml:space="preserve"> </v>
      </c>
      <c r="BJ4" s="7" t="s">
        <v>174</v>
      </c>
      <c r="BK4" s="6" t="str">
        <f>_xlfn.XLOOKUP(BJ4,対応表!$B:$B,対応表!$C:$C," ")</f>
        <v xml:space="preserve"> </v>
      </c>
      <c r="BL4" s="7" t="s">
        <v>175</v>
      </c>
      <c r="BM4" s="6" t="str">
        <f>_xlfn.XLOOKUP(BL4,対応表!$B:$B,対応表!$C:$C," ")</f>
        <v xml:space="preserve"> </v>
      </c>
      <c r="BN4" s="7" t="s">
        <v>176</v>
      </c>
      <c r="BO4" s="6" t="str">
        <f>_xlfn.XLOOKUP(BN4,対応表!$B:$B,対応表!$C:$C," ")</f>
        <v xml:space="preserve"> </v>
      </c>
      <c r="BP4" s="7" t="s">
        <v>177</v>
      </c>
      <c r="BQ4" s="6" t="str">
        <f>_xlfn.XLOOKUP(BP4,対応表!$B:$B,対応表!$C:$C," ")</f>
        <v xml:space="preserve"> </v>
      </c>
      <c r="BR4" s="7" t="s">
        <v>178</v>
      </c>
      <c r="BS4" s="6" t="str">
        <f>_xlfn.XLOOKUP(BR4,対応表!$B:$B,対応表!$C:$C," ")</f>
        <v xml:space="preserve"> </v>
      </c>
      <c r="BT4" s="7" t="s">
        <v>179</v>
      </c>
      <c r="BU4" s="6" t="str">
        <f>_xlfn.XLOOKUP(BT4,対応表!$B:$B,対応表!$C:$C," ")</f>
        <v xml:space="preserve"> </v>
      </c>
      <c r="BV4" s="7" t="s">
        <v>180</v>
      </c>
      <c r="BW4" s="6" t="str">
        <f>_xlfn.XLOOKUP(BV4,対応表!$B:$B,対応表!$C:$C," ")</f>
        <v xml:space="preserve"> </v>
      </c>
      <c r="BX4" s="7" t="s">
        <v>181</v>
      </c>
      <c r="BY4" s="6" t="str">
        <f>_xlfn.XLOOKUP(BX4,対応表!$B:$B,対応表!$C:$C," ")</f>
        <v xml:space="preserve"> </v>
      </c>
      <c r="BZ4" s="17" t="s">
        <v>182</v>
      </c>
      <c r="CA4" s="6" t="str">
        <f>_xlfn.XLOOKUP(BZ4,対応表!$B:$B,対応表!$C:$C," ")</f>
        <v xml:space="preserve"> </v>
      </c>
      <c r="CB4" s="17" t="s">
        <v>183</v>
      </c>
      <c r="CC4" s="6" t="str">
        <f>_xlfn.XLOOKUP(CB4,対応表!$B:$B,対応表!$C:$C," ")</f>
        <v xml:space="preserve"> </v>
      </c>
      <c r="CD4" s="7" t="s">
        <v>184</v>
      </c>
      <c r="CE4" s="6" t="str">
        <f>_xlfn.XLOOKUP(CD4,対応表!$B:$B,対応表!$C:$C," ")</f>
        <v xml:space="preserve"> </v>
      </c>
      <c r="CF4" s="7" t="s">
        <v>185</v>
      </c>
      <c r="CG4" s="6" t="str">
        <f>_xlfn.XLOOKUP(CF4,対応表!$B:$B,対応表!$C:$C," ")</f>
        <v>屋</v>
      </c>
      <c r="CH4" s="7" t="s">
        <v>186</v>
      </c>
      <c r="CI4" s="6" t="str">
        <f>_xlfn.XLOOKUP(CH4,対応表!$B:$B,対応表!$C:$C," ")</f>
        <v xml:space="preserve"> </v>
      </c>
      <c r="CJ4" s="7" t="s">
        <v>187</v>
      </c>
      <c r="CK4" s="6" t="str">
        <f>_xlfn.XLOOKUP(CJ4,対応表!$B:$B,対応表!$C:$C," ")</f>
        <v xml:space="preserve"> </v>
      </c>
      <c r="CL4" s="7" t="s">
        <v>188</v>
      </c>
      <c r="CM4" s="6" t="str">
        <f>_xlfn.XLOOKUP(CL4,対応表!$B:$B,対応表!$C:$C," ")</f>
        <v xml:space="preserve"> </v>
      </c>
      <c r="CN4" s="17" t="s">
        <v>189</v>
      </c>
      <c r="CO4" s="6" t="str">
        <f>_xlfn.XLOOKUP(CN4,対応表!$B:$B,対応表!$C:$C," ")</f>
        <v xml:space="preserve"> </v>
      </c>
      <c r="CP4" s="7" t="s">
        <v>190</v>
      </c>
      <c r="CQ4" s="6" t="str">
        <f>_xlfn.XLOOKUP(CP4,対応表!$B:$B,対応表!$C:$C," ")</f>
        <v xml:space="preserve"> </v>
      </c>
      <c r="CR4" s="7" t="s">
        <v>191</v>
      </c>
      <c r="CS4" s="6" t="str">
        <f>_xlfn.XLOOKUP(CR4,対応表!$B:$B,対応表!$C:$C," ")</f>
        <v xml:space="preserve"> </v>
      </c>
      <c r="CT4" s="7" t="s">
        <v>192</v>
      </c>
      <c r="CU4" s="6" t="str">
        <f>_xlfn.XLOOKUP(CT4,対応表!$B:$B,対応表!$C:$C," ")</f>
        <v xml:space="preserve"> </v>
      </c>
      <c r="CV4" s="7" t="s">
        <v>193</v>
      </c>
      <c r="CW4" s="6" t="str">
        <f>_xlfn.XLOOKUP(CV4,対応表!$B:$B,対応表!$C:$C," ")</f>
        <v xml:space="preserve"> </v>
      </c>
      <c r="CX4" s="7" t="s">
        <v>194</v>
      </c>
      <c r="CY4" s="6" t="str">
        <f>_xlfn.XLOOKUP(CX4,対応表!$B:$B,対応表!$C:$C," ")</f>
        <v xml:space="preserve"> </v>
      </c>
      <c r="CZ4" s="7" t="s">
        <v>195</v>
      </c>
      <c r="DA4" s="6" t="str">
        <f>_xlfn.XLOOKUP(CZ4,対応表!$B:$B,対応表!$C:$C," ")</f>
        <v xml:space="preserve"> </v>
      </c>
      <c r="DB4" s="7" t="s">
        <v>196</v>
      </c>
      <c r="DC4" s="6" t="str">
        <f>_xlfn.XLOOKUP(DB4,対応表!$B:$B,対応表!$C:$C," ")</f>
        <v xml:space="preserve"> </v>
      </c>
      <c r="DD4" s="7" t="s">
        <v>197</v>
      </c>
      <c r="DE4" s="6" t="str">
        <f>_xlfn.XLOOKUP(DD4,対応表!$B:$B,対応表!$C:$C," ")</f>
        <v>避?</v>
      </c>
      <c r="DF4" s="7" t="s">
        <v>198</v>
      </c>
      <c r="DG4" s="6" t="str">
        <f>_xlfn.XLOOKUP(DF4,対応表!$B:$B,対応表!$C:$C," ")</f>
        <v xml:space="preserve"> </v>
      </c>
      <c r="DH4" s="7" t="s">
        <v>199</v>
      </c>
      <c r="DI4" s="6" t="str">
        <f>_xlfn.XLOOKUP(DH4,対応表!$B:$B,対応表!$C:$C," ")</f>
        <v xml:space="preserve"> </v>
      </c>
      <c r="DJ4" s="7" t="s">
        <v>200</v>
      </c>
      <c r="DK4" s="6" t="str">
        <f>_xlfn.XLOOKUP(DJ4,対応表!$B:$B,対応表!$C:$C," ")</f>
        <v xml:space="preserve"> </v>
      </c>
      <c r="DL4" s="7" t="s">
        <v>201</v>
      </c>
      <c r="DM4" s="6" t="str">
        <f>_xlfn.XLOOKUP(DL4,対応表!$B:$B,対応表!$C:$C," ")</f>
        <v>際?</v>
      </c>
      <c r="DN4" s="7" t="s">
        <v>202</v>
      </c>
      <c r="DO4" s="6" t="str">
        <f>_xlfn.XLOOKUP(DN4,対応表!$B:$B,対応表!$C:$C," ")</f>
        <v>報?</v>
      </c>
      <c r="DP4" s="7" t="s">
        <v>203</v>
      </c>
      <c r="DQ4" s="6" t="str">
        <f>_xlfn.XLOOKUP(DP4,対応表!$B:$B,対応表!$C:$C," ")</f>
        <v xml:space="preserve"> </v>
      </c>
      <c r="DR4" s="7" t="s">
        <v>204</v>
      </c>
      <c r="DS4" s="6" t="str">
        <f>_xlfn.XLOOKUP(DR4,対応表!$B:$B,対応表!$C:$C," ")</f>
        <v xml:space="preserve"> </v>
      </c>
      <c r="DT4" s="7" t="s">
        <v>205</v>
      </c>
      <c r="DU4" s="6" t="str">
        <f>_xlfn.XLOOKUP(DT4,対応表!$B:$B,対応表!$C:$C," ")</f>
        <v xml:space="preserve"> </v>
      </c>
      <c r="DV4" s="7" t="s">
        <v>206</v>
      </c>
      <c r="DW4" s="6" t="str">
        <f>_xlfn.XLOOKUP(DV4,対応表!$B:$B,対応表!$C:$C," ")</f>
        <v xml:space="preserve"> </v>
      </c>
      <c r="DX4" s="7" t="s">
        <v>207</v>
      </c>
      <c r="DY4" s="6" t="str">
        <f>_xlfn.XLOOKUP(DX4,対応表!$B:$B,対応表!$C:$C," ")</f>
        <v xml:space="preserve"> </v>
      </c>
      <c r="DZ4" s="7" t="s">
        <v>208</v>
      </c>
      <c r="EA4" s="6" t="str">
        <f>_xlfn.XLOOKUP(DZ4,対応表!$B:$B,対応表!$C:$C," ")</f>
        <v xml:space="preserve"> </v>
      </c>
      <c r="EB4" s="7" t="s">
        <v>209</v>
      </c>
      <c r="EC4" s="6" t="str">
        <f>_xlfn.XLOOKUP(EB4,対応表!$B:$B,対応表!$C:$C," ")</f>
        <v xml:space="preserve"> </v>
      </c>
      <c r="ED4" s="7" t="s">
        <v>210</v>
      </c>
      <c r="EE4" s="6" t="str">
        <f>_xlfn.XLOOKUP(ED4,対応表!$B:$B,対応表!$C:$C," ")</f>
        <v xml:space="preserve"> </v>
      </c>
      <c r="EF4" s="7" t="s">
        <v>211</v>
      </c>
      <c r="EG4" s="6" t="str">
        <f>_xlfn.XLOOKUP(EF4,対応表!$B:$B,対応表!$C:$C," ")</f>
        <v xml:space="preserve"> </v>
      </c>
      <c r="EH4" s="7" t="s">
        <v>212</v>
      </c>
      <c r="EI4" s="6" t="str">
        <f>_xlfn.XLOOKUP(EH4,対応表!$B:$B,対応表!$C:$C," ")</f>
        <v xml:space="preserve"> </v>
      </c>
      <c r="EJ4" s="7" t="s">
        <v>213</v>
      </c>
      <c r="EK4" s="6" t="str">
        <f>_xlfn.XLOOKUP(EJ4,対応表!$B:$B,対応表!$C:$C," ")</f>
        <v xml:space="preserve"> </v>
      </c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</row>
    <row r="5" spans="1:219" ht="30" customHeight="1" x14ac:dyDescent="0.4">
      <c r="A5" s="9" t="s">
        <v>214</v>
      </c>
      <c r="B5" s="7" t="s">
        <v>215</v>
      </c>
      <c r="C5" s="6" t="str">
        <f>_xlfn.XLOOKUP(B5,対応表!$B:$B,対応表!$C:$C," ")</f>
        <v>に</v>
      </c>
      <c r="D5" s="7" t="s">
        <v>216</v>
      </c>
      <c r="E5" s="6" t="str" cm="1">
        <f t="array" ref="E5">_xlfn.XLOOKUP(D5,対応表!$B:B,対応表!$C:C," ")</f>
        <v>た</v>
      </c>
      <c r="F5" s="7" t="s">
        <v>217</v>
      </c>
      <c r="G5" s="6" t="str">
        <f>_xlfn.XLOOKUP(F5,対応表!$B:$B,対応表!$C:$C," ")</f>
        <v>一</v>
      </c>
      <c r="H5" s="7" t="s">
        <v>218</v>
      </c>
      <c r="I5" s="6" t="str">
        <f>_xlfn.XLOOKUP(H5,対応表!$B:$B,対応表!$C:$C," ")</f>
        <v>や</v>
      </c>
      <c r="J5" s="17" t="s">
        <v>219</v>
      </c>
      <c r="K5" s="6" t="str">
        <f>_xlfn.XLOOKUP(J5,対応表!$B:$B,対応表!$C:$C," ")</f>
        <v xml:space="preserve"> </v>
      </c>
      <c r="L5" s="7" t="s">
        <v>220</v>
      </c>
      <c r="M5" s="6" t="str">
        <f>_xlfn.XLOOKUP(L5,対応表!$B:$B,対応表!$C:$C," ")</f>
        <v>未?</v>
      </c>
      <c r="N5" s="7" t="s">
        <v>221</v>
      </c>
      <c r="O5" s="6" t="str">
        <f>_xlfn.XLOOKUP(N5,対応表!$B:$B,対応表!$C:$C,"に")</f>
        <v>に</v>
      </c>
      <c r="P5" s="7" t="s">
        <v>222</v>
      </c>
      <c r="Q5" s="6" t="str">
        <f>_xlfn.XLOOKUP(P5,対応表!$B:$B,対応表!$C:$C," ")</f>
        <v xml:space="preserve"> </v>
      </c>
      <c r="R5" s="7" t="s">
        <v>223</v>
      </c>
      <c r="S5" s="6" t="str">
        <f>_xlfn.XLOOKUP(R5,対応表!$B:$B,対応表!$C:$C," ")</f>
        <v xml:space="preserve"> </v>
      </c>
      <c r="T5" s="7" t="s">
        <v>224</v>
      </c>
      <c r="U5" s="6" t="str">
        <f>_xlfn.XLOOKUP(T5,対応表!$B:$B,対応表!$C:$C," ")</f>
        <v xml:space="preserve"> </v>
      </c>
      <c r="V5" s="7" t="s">
        <v>225</v>
      </c>
      <c r="W5" s="6" t="str">
        <f>_xlfn.XLOOKUP(V5,対応表!$B:$B,対応表!$C:$C," ")</f>
        <v xml:space="preserve"> </v>
      </c>
      <c r="X5" s="7" t="s">
        <v>226</v>
      </c>
      <c r="Y5" s="6" t="str">
        <f>_xlfn.XLOOKUP(X5,対応表!$B:$B,対応表!$C:$C," ")</f>
        <v xml:space="preserve"> </v>
      </c>
      <c r="Z5" s="7" t="s">
        <v>227</v>
      </c>
      <c r="AA5" s="6" t="str">
        <f>_xlfn.XLOOKUP(Z5,対応表!$B:$B,対応表!$C:$C," ")</f>
        <v>着</v>
      </c>
      <c r="AB5" s="7" t="s">
        <v>228</v>
      </c>
      <c r="AC5" s="6" t="str">
        <f>_xlfn.XLOOKUP(AB5,対応表!$B:$B,対応表!$C:$C," ")</f>
        <v xml:space="preserve"> </v>
      </c>
      <c r="AD5" s="7" t="s">
        <v>229</v>
      </c>
      <c r="AE5" s="6" t="str">
        <f>_xlfn.XLOOKUP(AD5,対応表!$B:$B,対応表!$C:$C," ")</f>
        <v xml:space="preserve"> </v>
      </c>
      <c r="AF5" s="7" t="s">
        <v>230</v>
      </c>
      <c r="AG5" s="6" t="str">
        <f>_xlfn.XLOOKUP(AF5,対応表!$B:$B,対応表!$C:$C," ")</f>
        <v xml:space="preserve"> </v>
      </c>
      <c r="AH5" s="7" t="s">
        <v>231</v>
      </c>
      <c r="AI5" s="6" t="str">
        <f>_xlfn.XLOOKUP(AH5,対応表!$B:$B,対応表!$C:$C," ")</f>
        <v xml:space="preserve"> </v>
      </c>
      <c r="AJ5" s="7" t="s">
        <v>232</v>
      </c>
      <c r="AK5" s="6" t="str">
        <f>_xlfn.XLOOKUP(AJ5,対応表!$B:$B,対応表!$C:$C," ")</f>
        <v xml:space="preserve"> </v>
      </c>
      <c r="AL5" s="7" t="s">
        <v>233</v>
      </c>
      <c r="AM5" s="6" t="str">
        <f>_xlfn.XLOOKUP(AL5,対応表!$B:$B,対応表!$C:$C," ")</f>
        <v xml:space="preserve"> </v>
      </c>
      <c r="AN5" s="7" t="s">
        <v>234</v>
      </c>
      <c r="AO5" s="6" t="str">
        <f>_xlfn.XLOOKUP(AN5,対応表!$B:$B,対応表!$C:$C," ")</f>
        <v xml:space="preserve"> </v>
      </c>
      <c r="AP5" s="7" t="s">
        <v>235</v>
      </c>
      <c r="AQ5" s="6" t="str">
        <f>_xlfn.XLOOKUP(AP5,対応表!$B:$B,対応表!$C:$C," ")</f>
        <v xml:space="preserve"> </v>
      </c>
      <c r="AR5" s="7" t="s">
        <v>236</v>
      </c>
      <c r="AS5" s="6" t="str">
        <f>_xlfn.XLOOKUP(AR5,対応表!$B:$B,対応表!$C:$C," ")</f>
        <v>待</v>
      </c>
      <c r="AT5" s="17" t="s">
        <v>237</v>
      </c>
      <c r="AU5" s="6" t="str">
        <f>_xlfn.XLOOKUP(AT5,対応表!$B:$B,対応表!$C:$C," ")</f>
        <v xml:space="preserve"> </v>
      </c>
      <c r="AV5" s="7" t="s">
        <v>238</v>
      </c>
      <c r="AW5" s="6" t="str">
        <f>_xlfn.XLOOKUP(AV5,対応表!$B:$B,対応表!$C:$C," ")</f>
        <v xml:space="preserve"> </v>
      </c>
      <c r="AX5" s="7" t="s">
        <v>239</v>
      </c>
      <c r="AY5" s="6" t="str">
        <f>_xlfn.XLOOKUP(AX5,対応表!$B:$B,対応表!$C:$C," ")</f>
        <v xml:space="preserve"> </v>
      </c>
      <c r="AZ5" s="7" t="s">
        <v>240</v>
      </c>
      <c r="BA5" s="6" t="str">
        <f>_xlfn.XLOOKUP(AZ5,対応表!$B:$B,対応表!$C:$C," ")</f>
        <v xml:space="preserve"> </v>
      </c>
      <c r="BB5" s="7" t="s">
        <v>241</v>
      </c>
      <c r="BC5" s="6" t="str">
        <f>_xlfn.XLOOKUP(BB5,対応表!$B:$B,対応表!$C:$C," ")</f>
        <v xml:space="preserve"> </v>
      </c>
      <c r="BD5" s="7" t="s">
        <v>242</v>
      </c>
      <c r="BE5" s="6" t="str">
        <f>_xlfn.XLOOKUP(BD5,対応表!$B:$B,対応表!$C:$C," ")</f>
        <v xml:space="preserve"> </v>
      </c>
      <c r="BF5" s="7" t="s">
        <v>243</v>
      </c>
      <c r="BG5" s="6" t="str">
        <f>_xlfn.XLOOKUP(BF5,対応表!$B:$B,対応表!$C:$C," ")</f>
        <v xml:space="preserve"> </v>
      </c>
      <c r="BH5" s="7" t="s">
        <v>244</v>
      </c>
      <c r="BI5" s="6" t="str">
        <f>_xlfn.XLOOKUP(BH5,対応表!$B:$B,対応表!$C:$C," ")</f>
        <v xml:space="preserve"> </v>
      </c>
      <c r="BJ5" s="7" t="s">
        <v>245</v>
      </c>
      <c r="BK5" s="6" t="str">
        <f>_xlfn.XLOOKUP(BJ5,対応表!$B:$B,対応表!$C:$C," ")</f>
        <v xml:space="preserve"> </v>
      </c>
      <c r="BL5" s="7" t="s">
        <v>246</v>
      </c>
      <c r="BM5" s="6" t="str">
        <f>_xlfn.XLOOKUP(BL5,対応表!$B:$B,対応表!$C:$C," ")</f>
        <v>求?</v>
      </c>
      <c r="BN5" s="7" t="s">
        <v>247</v>
      </c>
      <c r="BO5" s="6" t="str">
        <f>_xlfn.XLOOKUP(BN5,対応表!$B:$B,対応表!$C:$C," ")</f>
        <v xml:space="preserve"> </v>
      </c>
      <c r="BP5" s="7" t="s">
        <v>248</v>
      </c>
      <c r="BQ5" s="6" t="str">
        <f>_xlfn.XLOOKUP(BP5,対応表!$B:$B,対応表!$C:$C," ")</f>
        <v xml:space="preserve"> </v>
      </c>
      <c r="BR5" s="7" t="s">
        <v>249</v>
      </c>
      <c r="BS5" s="6" t="str">
        <f>_xlfn.XLOOKUP(BR5,対応表!$B:$B,対応表!$C:$C," ")</f>
        <v xml:space="preserve"> </v>
      </c>
      <c r="BT5" s="7" t="s">
        <v>250</v>
      </c>
      <c r="BU5" s="6" t="str">
        <f>_xlfn.XLOOKUP(BT5,対応表!$B:$B,対応表!$C:$C," ")</f>
        <v xml:space="preserve"> </v>
      </c>
      <c r="BV5" s="7" t="s">
        <v>251</v>
      </c>
      <c r="BW5" s="6" t="str">
        <f>_xlfn.XLOOKUP(BV5,対応表!$B:$B,対応表!$C:$C," ")</f>
        <v xml:space="preserve"> </v>
      </c>
      <c r="BX5" s="7" t="s">
        <v>252</v>
      </c>
      <c r="BY5" s="6" t="str">
        <f>_xlfn.XLOOKUP(BX5,対応表!$B:$B,対応表!$C:$C," ")</f>
        <v xml:space="preserve"> </v>
      </c>
      <c r="BZ5" s="7" t="s">
        <v>253</v>
      </c>
      <c r="CA5" s="6" t="str">
        <f>_xlfn.XLOOKUP(BZ5,対応表!$B:$B,対応表!$C:$C," ")</f>
        <v xml:space="preserve"> </v>
      </c>
      <c r="CB5" s="17" t="s">
        <v>254</v>
      </c>
      <c r="CC5" s="6" t="str">
        <f>_xlfn.XLOOKUP(CB5,対応表!$B:$B,対応表!$C:$C," ")</f>
        <v xml:space="preserve"> </v>
      </c>
      <c r="CD5" s="7" t="s">
        <v>255</v>
      </c>
      <c r="CE5" s="6" t="str">
        <f>_xlfn.XLOOKUP(CD5,対応表!$B:$B,対応表!$C:$C," ")</f>
        <v xml:space="preserve"> </v>
      </c>
      <c r="CF5" s="7" t="s">
        <v>256</v>
      </c>
      <c r="CG5" s="6" t="str">
        <f>_xlfn.XLOOKUP(CF5,対応表!$B:$B,対応表!$C:$C," ")</f>
        <v xml:space="preserve"> </v>
      </c>
      <c r="CH5" s="7" t="s">
        <v>257</v>
      </c>
      <c r="CI5" s="6" t="str">
        <f>_xlfn.XLOOKUP(CH5,対応表!$B:$B,対応表!$C:$C," ")</f>
        <v>果?</v>
      </c>
      <c r="CJ5" s="7" t="s">
        <v>258</v>
      </c>
      <c r="CK5" s="6" t="str">
        <f>_xlfn.XLOOKUP(CJ5,対応表!$B:$B,対応表!$C:$C," ")</f>
        <v xml:space="preserve"> </v>
      </c>
      <c r="CL5" s="7" t="s">
        <v>259</v>
      </c>
      <c r="CM5" s="6" t="str">
        <f>_xlfn.XLOOKUP(CL5,対応表!$B:$B,対応表!$C:$C," ")</f>
        <v xml:space="preserve"> </v>
      </c>
      <c r="CN5" s="7" t="s">
        <v>260</v>
      </c>
      <c r="CO5" s="6" t="str">
        <f>_xlfn.XLOOKUP(CN5,対応表!$B:$B,対応表!$C:$C," ")</f>
        <v xml:space="preserve"> </v>
      </c>
      <c r="CP5" s="7" t="s">
        <v>261</v>
      </c>
      <c r="CQ5" s="6" t="str">
        <f>_xlfn.XLOOKUP(CP5,対応表!$B:$B,対応表!$C:$C," ")</f>
        <v xml:space="preserve"> </v>
      </c>
      <c r="CR5" s="7" t="s">
        <v>262</v>
      </c>
      <c r="CS5" s="6" t="str">
        <f>_xlfn.XLOOKUP(CR5,対応表!$B:$B,対応表!$C:$C," ")</f>
        <v xml:space="preserve"> </v>
      </c>
      <c r="CT5" s="7" t="s">
        <v>263</v>
      </c>
      <c r="CU5" s="6" t="str">
        <f>_xlfn.XLOOKUP(CT5,対応表!$B:$B,対応表!$C:$C,"影")</f>
        <v>影</v>
      </c>
      <c r="CV5" s="7" t="s">
        <v>264</v>
      </c>
      <c r="CW5" s="6" t="str">
        <f>_xlfn.XLOOKUP(CV5,対応表!$B:$B,対応表!$C:$C," ")</f>
        <v xml:space="preserve"> </v>
      </c>
      <c r="CX5" s="7" t="s">
        <v>265</v>
      </c>
      <c r="CY5" s="6" t="str">
        <f>_xlfn.XLOOKUP(CX5,対応表!$B:$B,対応表!$C:$C," ")</f>
        <v>断?</v>
      </c>
      <c r="CZ5" s="7" t="s">
        <v>266</v>
      </c>
      <c r="DA5" s="6" t="str">
        <f>_xlfn.XLOOKUP(CZ5,対応表!$B:$B,対応表!$C:$C," ")</f>
        <v>交?</v>
      </c>
      <c r="DB5" s="7" t="s">
        <v>267</v>
      </c>
      <c r="DC5" s="6" t="str">
        <f>_xlfn.XLOOKUP(DB5,対応表!$B:$B,対応表!$C:$C," ")</f>
        <v>置</v>
      </c>
      <c r="DD5" s="7" t="s">
        <v>268</v>
      </c>
      <c r="DE5" s="6" t="str">
        <f>_xlfn.XLOOKUP(DD5,対応表!$B:$B,対応表!$C:$C," ")</f>
        <v xml:space="preserve"> </v>
      </c>
      <c r="DF5" s="7" t="s">
        <v>269</v>
      </c>
      <c r="DG5" s="6" t="str">
        <f>_xlfn.XLOOKUP(DF5,対応表!$B:$B,対応表!$C:$C," ")</f>
        <v xml:space="preserve"> </v>
      </c>
      <c r="DH5" s="7" t="s">
        <v>270</v>
      </c>
      <c r="DI5" s="6" t="str">
        <f>_xlfn.XLOOKUP(DH5,対応表!$B:$B,対応表!$C:$C," ")</f>
        <v>月</v>
      </c>
      <c r="DJ5" s="7" t="s">
        <v>271</v>
      </c>
      <c r="DK5" s="6" t="str">
        <f>_xlfn.XLOOKUP(DJ5,対応表!$B:$B,対応表!$C:$C," ")</f>
        <v xml:space="preserve"> </v>
      </c>
      <c r="DL5" s="17" t="s">
        <v>272</v>
      </c>
      <c r="DM5" s="6" t="str">
        <f>_xlfn.XLOOKUP(DL5,対応表!$B:$B,対応表!$C:$C," ")</f>
        <v xml:space="preserve"> </v>
      </c>
      <c r="DN5" s="7" t="s">
        <v>273</v>
      </c>
      <c r="DO5" s="6" t="str">
        <f>_xlfn.XLOOKUP(DN5,対応表!$B:$B,対応表!$C:$C," ")</f>
        <v xml:space="preserve"> </v>
      </c>
      <c r="DP5" s="7" t="s">
        <v>274</v>
      </c>
      <c r="DQ5" s="6" t="str">
        <f>_xlfn.XLOOKUP(DP5,対応表!$B:$B,対応表!$C:$C," ")</f>
        <v xml:space="preserve"> </v>
      </c>
      <c r="DR5" s="7" t="s">
        <v>275</v>
      </c>
      <c r="DS5" s="6" t="str">
        <f>_xlfn.XLOOKUP(DR5,対応表!$B:$B,対応表!$C:$C," ")</f>
        <v xml:space="preserve"> </v>
      </c>
      <c r="DT5" s="7" t="s">
        <v>276</v>
      </c>
      <c r="DU5" s="6" t="str">
        <f>_xlfn.XLOOKUP(DT5,対応表!$B:$B,対応表!$C:$C," ")</f>
        <v xml:space="preserve"> </v>
      </c>
      <c r="DV5" s="7" t="s">
        <v>277</v>
      </c>
      <c r="DW5" s="6" t="str">
        <f>_xlfn.XLOOKUP(DV5,対応表!$B:$B,対応表!$C:$C," ")</f>
        <v xml:space="preserve"> </v>
      </c>
      <c r="DX5" s="7" t="s">
        <v>278</v>
      </c>
      <c r="DY5" s="6" t="str">
        <f>_xlfn.XLOOKUP(DX5,対応表!$B:$B,対応表!$C:$C," ")</f>
        <v>必</v>
      </c>
      <c r="DZ5" s="7" t="s">
        <v>279</v>
      </c>
      <c r="EA5" s="6" t="str">
        <f>_xlfn.XLOOKUP(DZ5,対応表!$B:$B,対応表!$C:$C," ")</f>
        <v xml:space="preserve"> </v>
      </c>
      <c r="EB5" s="7" t="s">
        <v>280</v>
      </c>
      <c r="EC5" s="6" t="str">
        <f>_xlfn.XLOOKUP(EB5,対応表!$B:$B,対応表!$C:$C," ")</f>
        <v xml:space="preserve"> </v>
      </c>
      <c r="ED5" s="7" t="s">
        <v>281</v>
      </c>
      <c r="EE5" s="6" t="str">
        <f>_xlfn.XLOOKUP(ED5,対応表!$B:$B,対応表!$C:$C," ")</f>
        <v xml:space="preserve"> </v>
      </c>
      <c r="EF5" s="7" t="s">
        <v>282</v>
      </c>
      <c r="EG5" s="6" t="str">
        <f>_xlfn.XLOOKUP(EF5,対応表!$B:$B,対応表!$C:$C," ")</f>
        <v xml:space="preserve"> </v>
      </c>
      <c r="EH5" s="7" t="s">
        <v>283</v>
      </c>
      <c r="EI5" s="6" t="str">
        <f>_xlfn.XLOOKUP(EH5,対応表!$B:$B,対応表!$C:$C," ")</f>
        <v xml:space="preserve"> </v>
      </c>
      <c r="EJ5" s="7" t="s">
        <v>284</v>
      </c>
      <c r="EK5" s="6" t="str">
        <f>_xlfn.XLOOKUP(EJ5,対応表!$B:$B,対応表!$C:$C," ")</f>
        <v xml:space="preserve"> </v>
      </c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</row>
    <row r="6" spans="1:219" ht="30" customHeight="1" x14ac:dyDescent="0.4">
      <c r="A6" s="9" t="s">
        <v>285</v>
      </c>
      <c r="B6" s="7" t="s">
        <v>286</v>
      </c>
      <c r="C6" s="6" t="str">
        <f>_xlfn.XLOOKUP(B6,対応表!$B:$B,対応表!$C:$C,"書")</f>
        <v>書?</v>
      </c>
      <c r="D6" s="7" t="s">
        <v>287</v>
      </c>
      <c r="E6" s="6" t="str" cm="1">
        <f t="array" ref="E6">_xlfn.XLOOKUP(D6,対応表!$B:B,対応表!$C:C," ")</f>
        <v>め</v>
      </c>
      <c r="F6" s="7" t="s">
        <v>288</v>
      </c>
      <c r="G6" s="6" t="str">
        <f>_xlfn.XLOOKUP(F6,対応表!$B:$B,対応表!$C:$C," ")</f>
        <v xml:space="preserve"> </v>
      </c>
      <c r="H6" s="7" t="s">
        <v>289</v>
      </c>
      <c r="I6" s="6" t="str">
        <f>_xlfn.XLOOKUP(H6,対応表!$B:$B,対応表!$C:$C,"け")</f>
        <v>け</v>
      </c>
      <c r="J6" s="17" t="s">
        <v>290</v>
      </c>
      <c r="K6" s="6" t="str">
        <f>_xlfn.XLOOKUP(J6,対応表!$B:$B,対応表!$C:$C," ")</f>
        <v xml:space="preserve"> </v>
      </c>
      <c r="L6" s="7" t="s">
        <v>291</v>
      </c>
      <c r="M6" s="6" t="str">
        <f>_xlfn.XLOOKUP(L6,対応表!$B:$B,対応表!$C:$C," ")</f>
        <v>来</v>
      </c>
      <c r="N6" s="7" t="s">
        <v>292</v>
      </c>
      <c r="O6" s="6" t="str">
        <f>_xlfn.XLOOKUP(N6,対応表!$B:$B,対応表!$C:$C," ")</f>
        <v>変?</v>
      </c>
      <c r="P6" s="7" t="s">
        <v>293</v>
      </c>
      <c r="Q6" s="6" t="str">
        <f>_xlfn.XLOOKUP(P6,対応表!$B:$B,対応表!$C:$C," ")</f>
        <v>じ</v>
      </c>
      <c r="R6" s="7" t="s">
        <v>294</v>
      </c>
      <c r="S6" s="6" t="str">
        <f>_xlfn.XLOOKUP(R6,対応表!$B:$B,対応表!$C:$C," ")</f>
        <v xml:space="preserve"> </v>
      </c>
      <c r="T6" s="7" t="s">
        <v>295</v>
      </c>
      <c r="U6" s="6" t="str">
        <f>_xlfn.XLOOKUP(T6,対応表!$B:$B,対応表!$C:$C," ")</f>
        <v>音</v>
      </c>
      <c r="V6" s="7" t="s">
        <v>296</v>
      </c>
      <c r="W6" s="6" t="str">
        <f>_xlfn.XLOOKUP(V6,対応表!$B:$B,対応表!$C:$C," ")</f>
        <v>[介]?</v>
      </c>
      <c r="X6" s="17" t="s">
        <v>297</v>
      </c>
      <c r="Y6" s="6" t="str">
        <f>_xlfn.XLOOKUP(X6,対応表!$B:$B,対応表!$C:$C," ")</f>
        <v xml:space="preserve"> </v>
      </c>
      <c r="Z6" s="7" t="s">
        <v>298</v>
      </c>
      <c r="AA6" s="6" t="str">
        <f>_xlfn.XLOOKUP(Z6,対応表!$B:$B,対応表!$C:$C," ")</f>
        <v xml:space="preserve"> </v>
      </c>
      <c r="AB6" s="7" t="s">
        <v>299</v>
      </c>
      <c r="AC6" s="6" t="str">
        <f>_xlfn.XLOOKUP(AB6,対応表!$B:$B,対応表!$C:$C," ")</f>
        <v xml:space="preserve"> </v>
      </c>
      <c r="AD6" s="7" t="s">
        <v>300</v>
      </c>
      <c r="AE6" s="6" t="str">
        <f>_xlfn.XLOOKUP(AD6,対応表!$B:$B,対応表!$C:$C," ")</f>
        <v>合</v>
      </c>
      <c r="AF6" s="7" t="s">
        <v>301</v>
      </c>
      <c r="AG6" s="6" t="str">
        <f>_xlfn.XLOOKUP(AF6,対応表!$B:$B,対応表!$C:$C," ")</f>
        <v xml:space="preserve"> </v>
      </c>
      <c r="AH6" s="7" t="s">
        <v>302</v>
      </c>
      <c r="AI6" s="6" t="str">
        <f>_xlfn.XLOOKUP(AH6,対応表!$B:$B,対応表!$C:$C," ")</f>
        <v>持</v>
      </c>
      <c r="AJ6" s="17" t="s">
        <v>303</v>
      </c>
      <c r="AK6" s="6" t="str">
        <f>_xlfn.XLOOKUP(AJ6,対応表!$B:$B,対応表!$C:$C," ")</f>
        <v xml:space="preserve"> </v>
      </c>
      <c r="AL6" s="7" t="s">
        <v>304</v>
      </c>
      <c r="AM6" s="6" t="str">
        <f>_xlfn.XLOOKUP(AL6,対応表!$B:$B,対応表!$C:$C," ")</f>
        <v>本</v>
      </c>
      <c r="AN6" s="7" t="s">
        <v>305</v>
      </c>
      <c r="AO6" s="6" t="str">
        <f>_xlfn.XLOOKUP(AN6,対応表!$B:$B,対応表!$C:$C," ")</f>
        <v xml:space="preserve"> </v>
      </c>
      <c r="AP6" s="7" t="s">
        <v>306</v>
      </c>
      <c r="AQ6" s="6" t="str">
        <f>_xlfn.XLOOKUP(AP6,対応表!$B:$B,対応表!$C:$C," ")</f>
        <v xml:space="preserve"> </v>
      </c>
      <c r="AR6" s="7" t="s">
        <v>307</v>
      </c>
      <c r="AS6" s="6" t="str">
        <f>_xlfn.XLOOKUP(AR6,対応表!$B:$B,対応表!$C:$C," ")</f>
        <v xml:space="preserve"> </v>
      </c>
      <c r="AT6" s="7" t="s">
        <v>308</v>
      </c>
      <c r="AU6" s="6" t="str">
        <f>_xlfn.XLOOKUP(AT6,対応表!$B:$B,対応表!$C:$C," ")</f>
        <v>[侻]?</v>
      </c>
      <c r="AV6" s="7" t="s">
        <v>309</v>
      </c>
      <c r="AW6" s="6" t="str">
        <f>_xlfn.XLOOKUP(AV6,対応表!$B:$B,対応表!$C:$C," ")</f>
        <v xml:space="preserve"> </v>
      </c>
      <c r="AX6" s="7" t="s">
        <v>310</v>
      </c>
      <c r="AY6" s="6" t="str">
        <f>_xlfn.XLOOKUP(AX6,対応表!$B:$B,対応表!$C:$C," ")</f>
        <v xml:space="preserve"> </v>
      </c>
      <c r="AZ6" s="7" t="s">
        <v>311</v>
      </c>
      <c r="BA6" s="6" t="str">
        <f>_xlfn.XLOOKUP(AZ6,対応表!$B:$B,対応表!$C:$C," ")</f>
        <v xml:space="preserve"> </v>
      </c>
      <c r="BB6" s="7" t="s">
        <v>312</v>
      </c>
      <c r="BC6" s="6" t="str">
        <f>_xlfn.XLOOKUP(BB6,対応表!$B:$B,対応表!$C:$C," ")</f>
        <v xml:space="preserve"> </v>
      </c>
      <c r="BD6" s="17" t="s">
        <v>313</v>
      </c>
      <c r="BE6" s="6" t="str">
        <f>_xlfn.XLOOKUP(BD6,対応表!$B:$B,対応表!$C:$C," ")</f>
        <v>休</v>
      </c>
      <c r="BF6" s="7" t="s">
        <v>314</v>
      </c>
      <c r="BG6" s="6" t="str">
        <f>_xlfn.XLOOKUP(BF6,対応表!$B:$B,対応表!$C:$C," ")</f>
        <v xml:space="preserve"> </v>
      </c>
      <c r="BH6" s="7" t="s">
        <v>315</v>
      </c>
      <c r="BI6" s="6" t="str">
        <f>_xlfn.XLOOKUP(BH6,対応表!$B:$B,対応表!$C:$C," ")</f>
        <v>客?</v>
      </c>
      <c r="BJ6" s="7" t="s">
        <v>316</v>
      </c>
      <c r="BK6" s="6" t="str">
        <f>_xlfn.XLOOKUP(BJ6,対応表!$B:$B,対応表!$C:$C," ")</f>
        <v xml:space="preserve"> </v>
      </c>
      <c r="BL6" s="7" t="s">
        <v>317</v>
      </c>
      <c r="BM6" s="6" t="str">
        <f>_xlfn.XLOOKUP(BL6,対応表!$B:$B,対応表!$C:$C," ")</f>
        <v xml:space="preserve"> </v>
      </c>
      <c r="BN6" s="7" t="s">
        <v>318</v>
      </c>
      <c r="BO6" s="6" t="str">
        <f>_xlfn.XLOOKUP(BN6,対応表!$B:$B,対応表!$C:$C," ")</f>
        <v xml:space="preserve"> </v>
      </c>
      <c r="BP6" s="17" t="s">
        <v>319</v>
      </c>
      <c r="BQ6" s="6" t="str">
        <f>_xlfn.XLOOKUP(BP6,対応表!$B:$B,対応表!$C:$C," ")</f>
        <v xml:space="preserve"> </v>
      </c>
      <c r="BR6" s="7" t="s">
        <v>320</v>
      </c>
      <c r="BS6" s="6" t="str">
        <f>_xlfn.XLOOKUP(BR6,対応表!$B:$B,対応表!$C:$C," ")</f>
        <v>ぱ</v>
      </c>
      <c r="BT6" s="7" t="s">
        <v>321</v>
      </c>
      <c r="BU6" s="6" t="str">
        <f>_xlfn.XLOOKUP(BT6,対応表!$B:$B,対応表!$C:$C," ")</f>
        <v xml:space="preserve"> </v>
      </c>
      <c r="BV6" s="7" t="s">
        <v>322</v>
      </c>
      <c r="BW6" s="6" t="str">
        <f>_xlfn.XLOOKUP(BV6,対応表!$B:$B,対応表!$C:$C," ")</f>
        <v xml:space="preserve"> </v>
      </c>
      <c r="BX6" s="7" t="s">
        <v>323</v>
      </c>
      <c r="BY6" s="6" t="str">
        <f>_xlfn.XLOOKUP(BX6,対応表!$B:$B,対応表!$C:$C," ")</f>
        <v xml:space="preserve"> </v>
      </c>
      <c r="BZ6" s="7" t="s">
        <v>324</v>
      </c>
      <c r="CA6" s="6" t="str">
        <f>_xlfn.XLOOKUP(BZ6,対応表!$B:$B,対応表!$C:$C," ")</f>
        <v xml:space="preserve"> </v>
      </c>
      <c r="CB6" s="7" t="s">
        <v>325</v>
      </c>
      <c r="CC6" s="6" t="str">
        <f>_xlfn.XLOOKUP(CB6,対応表!$B:$B,対応表!$C:$C," ")</f>
        <v>関?</v>
      </c>
      <c r="CD6" s="7" t="s">
        <v>326</v>
      </c>
      <c r="CE6" s="6" t="str">
        <f>_xlfn.XLOOKUP(CD6,対応表!$B:$B,対応表!$C:$C," ")</f>
        <v xml:space="preserve"> </v>
      </c>
      <c r="CF6" s="7" t="s">
        <v>327</v>
      </c>
      <c r="CG6" s="6" t="str">
        <f>_xlfn.XLOOKUP(CF6,対応表!$B:$B,対応表!$C:$C," ")</f>
        <v>除?</v>
      </c>
      <c r="CH6" s="7" t="s">
        <v>328</v>
      </c>
      <c r="CI6" s="6" t="str">
        <f>_xlfn.XLOOKUP(CH6,対応表!$B:$B,対応表!$C:$C," ")</f>
        <v xml:space="preserve"> </v>
      </c>
      <c r="CJ6" s="7" t="s">
        <v>329</v>
      </c>
      <c r="CK6" s="6" t="str">
        <f>_xlfn.XLOOKUP(CJ6,対応表!$B:$B,対応表!$C:$C," ")</f>
        <v xml:space="preserve"> </v>
      </c>
      <c r="CL6" s="7" t="s">
        <v>330</v>
      </c>
      <c r="CM6" s="6" t="str">
        <f>_xlfn.XLOOKUP(CL6,対応表!$B:$B,対応表!$C:$C," ")</f>
        <v>軽</v>
      </c>
      <c r="CN6" s="7" t="s">
        <v>331</v>
      </c>
      <c r="CO6" s="6" t="str">
        <f>_xlfn.XLOOKUP(CN6,対応表!$B:$B,対応表!$C:$C," ")</f>
        <v xml:space="preserve"> </v>
      </c>
      <c r="CP6" s="7" t="s">
        <v>332</v>
      </c>
      <c r="CQ6" s="6" t="str">
        <f>_xlfn.XLOOKUP(CP6,対応表!$B:$B,対応表!$C:$C," ")</f>
        <v xml:space="preserve"> </v>
      </c>
      <c r="CR6" s="7" t="s">
        <v>333</v>
      </c>
      <c r="CS6" s="6" t="str">
        <f>_xlfn.XLOOKUP(CR6,対応表!$B:$B,対応表!$C:$C," ")</f>
        <v>ざ</v>
      </c>
      <c r="CT6" s="7" t="s">
        <v>334</v>
      </c>
      <c r="CU6" s="6" t="str">
        <f>_xlfn.XLOOKUP(CT6,対応表!$B:$B,対応表!$C:$C," ")</f>
        <v>封</v>
      </c>
      <c r="CV6" s="7" t="s">
        <v>335</v>
      </c>
      <c r="CW6" s="6" t="str">
        <f>_xlfn.XLOOKUP(CV6,対応表!$B:$B,対応表!$C:$C," ")</f>
        <v>過?</v>
      </c>
      <c r="CX6" s="7" t="s">
        <v>336</v>
      </c>
      <c r="CY6" s="6" t="str">
        <f>_xlfn.XLOOKUP(CX6,対応表!$B:$B,対応表!$C:$C," ")</f>
        <v xml:space="preserve"> </v>
      </c>
      <c r="CZ6" s="7" t="s">
        <v>337</v>
      </c>
      <c r="DA6" s="6" t="str">
        <f>_xlfn.XLOOKUP(CZ6,対応表!$B:$B,対応表!$C:$C," ")</f>
        <v xml:space="preserve"> </v>
      </c>
      <c r="DB6" s="7" t="s">
        <v>338</v>
      </c>
      <c r="DC6" s="6" t="str">
        <f>_xlfn.XLOOKUP(DB6,対応表!$B:$B,対応表!$C:$C," ")</f>
        <v xml:space="preserve"> </v>
      </c>
      <c r="DD6" s="7" t="s">
        <v>339</v>
      </c>
      <c r="DE6" s="6" t="str">
        <f>_xlfn.XLOOKUP(DD6,対応表!$B:$B,対応表!$C:$C," ")</f>
        <v xml:space="preserve"> </v>
      </c>
      <c r="DF6" s="7" t="s">
        <v>340</v>
      </c>
      <c r="DG6" s="6" t="str">
        <f>_xlfn.XLOOKUP(DF6,対応表!$B:$B,対応表!$C:$C," ")</f>
        <v>首?</v>
      </c>
      <c r="DH6" s="7" t="s">
        <v>341</v>
      </c>
      <c r="DI6" s="6" t="str">
        <f>_xlfn.XLOOKUP(DH6,対応表!$B:$B,対応表!$C:$C," ")</f>
        <v xml:space="preserve"> </v>
      </c>
      <c r="DJ6" s="7" t="s">
        <v>342</v>
      </c>
      <c r="DK6" s="6" t="str">
        <f>_xlfn.XLOOKUP(DJ6,対応表!$B:$B,対応表!$C:$C," ")</f>
        <v xml:space="preserve"> </v>
      </c>
      <c r="DL6" s="7" t="s">
        <v>343</v>
      </c>
      <c r="DM6" s="6" t="str">
        <f>_xlfn.XLOOKUP(DL6,対応表!$B:$B,対応表!$C:$C," ")</f>
        <v>定</v>
      </c>
      <c r="DN6" s="7" t="s">
        <v>344</v>
      </c>
      <c r="DO6" s="6" t="str">
        <f>_xlfn.XLOOKUP(DN6,対応表!$B:$B,対応表!$C:$C," ")</f>
        <v xml:space="preserve"> </v>
      </c>
      <c r="DP6" s="7" t="s">
        <v>345</v>
      </c>
      <c r="DQ6" s="6" t="str">
        <f>_xlfn.XLOOKUP(DP6,対応表!$B:$B,対応表!$C:$C," ")</f>
        <v xml:space="preserve"> </v>
      </c>
      <c r="DR6" s="7" t="s">
        <v>346</v>
      </c>
      <c r="DS6" s="6" t="str">
        <f>_xlfn.XLOOKUP(DR6,対応表!$B:$B,対応表!$C:$C," ")</f>
        <v xml:space="preserve"> </v>
      </c>
      <c r="DT6" s="7" t="s">
        <v>347</v>
      </c>
      <c r="DU6" s="6" t="str">
        <f>_xlfn.XLOOKUP(DT6,対応表!$B:$B,対応表!$C:$C," ")</f>
        <v>保</v>
      </c>
      <c r="DV6" s="7" t="s">
        <v>348</v>
      </c>
      <c r="DW6" s="6" t="str">
        <f>_xlfn.XLOOKUP(DV6,対応表!$B:$B,対応表!$C:$C," ")</f>
        <v xml:space="preserve"> </v>
      </c>
      <c r="DX6" s="17" t="s">
        <v>349</v>
      </c>
      <c r="DY6" s="6" t="str">
        <f>_xlfn.XLOOKUP(DX6,対応表!$B:$B,対応表!$C:$C," ")</f>
        <v xml:space="preserve"> </v>
      </c>
      <c r="DZ6" s="7" t="s">
        <v>350</v>
      </c>
      <c r="EA6" s="6" t="str">
        <f>_xlfn.XLOOKUP(DZ6,対応表!$B:$B,対応表!$C:$C," ")</f>
        <v xml:space="preserve"> </v>
      </c>
      <c r="EB6" s="7" t="s">
        <v>351</v>
      </c>
      <c r="EC6" s="6" t="str">
        <f>_xlfn.XLOOKUP(EB6,対応表!$B:$B,対応表!$C:$C," ")</f>
        <v xml:space="preserve"> </v>
      </c>
      <c r="ED6" s="17" t="s">
        <v>352</v>
      </c>
      <c r="EE6" s="6" t="str">
        <f>_xlfn.XLOOKUP(ED6,対応表!$B:$B,対応表!$C:$C," ")</f>
        <v xml:space="preserve"> </v>
      </c>
      <c r="EF6" s="7" t="s">
        <v>353</v>
      </c>
      <c r="EG6" s="6" t="str">
        <f>_xlfn.XLOOKUP(EF6,対応表!$B:$B,対応表!$C:$C," ")</f>
        <v xml:space="preserve"> </v>
      </c>
      <c r="EH6" s="7" t="s">
        <v>354</v>
      </c>
      <c r="EI6" s="6" t="str">
        <f>_xlfn.XLOOKUP(EH6,対応表!$B:$B,対応表!$C:$C," ")</f>
        <v xml:space="preserve"> </v>
      </c>
      <c r="EJ6" s="7" t="s">
        <v>355</v>
      </c>
      <c r="EK6" s="6" t="str">
        <f>_xlfn.XLOOKUP(EJ6,対応表!$B:$B,対応表!$C:$C," ")</f>
        <v xml:space="preserve"> </v>
      </c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</row>
    <row r="7" spans="1:219" ht="30" customHeight="1" x14ac:dyDescent="0.4">
      <c r="A7" s="9" t="s">
        <v>356</v>
      </c>
      <c r="B7" s="7" t="s">
        <v>357</v>
      </c>
      <c r="C7" s="6" t="str">
        <f>_xlfn.XLOOKUP(B7,対応表!$B:$B,対応表!$C:$C," ")</f>
        <v>き</v>
      </c>
      <c r="D7" s="7" t="s">
        <v>358</v>
      </c>
      <c r="E7" s="22" t="str" cm="1">
        <f t="array" ref="E7">_xlfn.XLOOKUP(D7,対応表!$B:B,対応表!$C:C,"の")</f>
        <v>の</v>
      </c>
      <c r="F7" s="7" t="s">
        <v>359</v>
      </c>
      <c r="G7" s="6" t="str">
        <f>_xlfn.XLOOKUP(F7,対応表!$B:$B,対応表!$C:$C," ")</f>
        <v xml:space="preserve"> </v>
      </c>
      <c r="H7" s="7" t="s">
        <v>360</v>
      </c>
      <c r="I7" s="6" t="str">
        <f>_xlfn.XLOOKUP(H7,対応表!$B:$B,対応表!$C:$C," ")</f>
        <v xml:space="preserve"> </v>
      </c>
      <c r="J7" s="17" t="s">
        <v>361</v>
      </c>
      <c r="K7" s="6" t="str">
        <f>_xlfn.XLOOKUP(J7,対応表!$B:$B,対応表!$C:$C," ")</f>
        <v xml:space="preserve"> </v>
      </c>
      <c r="L7" s="7" t="s">
        <v>362</v>
      </c>
      <c r="M7" s="22" t="str">
        <f>_xlfn.XLOOKUP(L7,対応表!$B:$B,対応表!$C:$C,"に")</f>
        <v>に</v>
      </c>
      <c r="N7" s="7" t="s">
        <v>363</v>
      </c>
      <c r="O7" s="6" t="str">
        <f>_xlfn.XLOOKUP(N7,対応表!$B:$B,対応表!$C:$C," ")</f>
        <v>革?</v>
      </c>
      <c r="P7" s="7" t="s">
        <v>364</v>
      </c>
      <c r="Q7" s="6" t="str">
        <f>_xlfn.XLOOKUP(P7,対応表!$B:$B,対応表!$C:$C," ")</f>
        <v xml:space="preserve"> </v>
      </c>
      <c r="R7" s="7" t="s">
        <v>365</v>
      </c>
      <c r="S7" s="6" t="str">
        <f>_xlfn.XLOOKUP(R7,対応表!$B:$B,対応表!$C:$C," ")</f>
        <v xml:space="preserve"> </v>
      </c>
      <c r="T7" s="7" t="s">
        <v>366</v>
      </c>
      <c r="U7" s="6" t="str">
        <f>_xlfn.XLOOKUP(T7,対応表!$B:$B,対応表!$C:$C," ")</f>
        <v xml:space="preserve"> </v>
      </c>
      <c r="V7" s="7" t="s">
        <v>367</v>
      </c>
      <c r="W7" s="6" t="str">
        <f>_xlfn.XLOOKUP(V7,対応表!$B:$B,対応表!$C:$C," ")</f>
        <v xml:space="preserve"> </v>
      </c>
      <c r="X7" s="7" t="s">
        <v>368</v>
      </c>
      <c r="Y7" s="6" t="str">
        <f>_xlfn.XLOOKUP(X7,対応表!$B:$B,対応表!$C:$C," ")</f>
        <v xml:space="preserve"> </v>
      </c>
      <c r="Z7" s="7" t="s">
        <v>369</v>
      </c>
      <c r="AA7" s="6" t="str">
        <f>_xlfn.XLOOKUP(Z7,対応表!$B:$B,対応表!$C:$C," ")</f>
        <v xml:space="preserve"> </v>
      </c>
      <c r="AB7" s="17" t="s">
        <v>370</v>
      </c>
      <c r="AC7" s="6" t="str">
        <f>_xlfn.XLOOKUP(AB7,対応表!$B:$B,対応表!$C:$C," ")</f>
        <v>落</v>
      </c>
      <c r="AD7" s="7" t="s">
        <v>371</v>
      </c>
      <c r="AE7" s="6" t="str">
        <f>_xlfn.XLOOKUP(AD7,対応表!$B:$B,対応表!$C:$C," ")</f>
        <v xml:space="preserve"> </v>
      </c>
      <c r="AF7" s="7" t="s">
        <v>372</v>
      </c>
      <c r="AG7" s="6" t="str">
        <f>_xlfn.XLOOKUP(AF7,対応表!$B:$B,対応表!$C:$C," ")</f>
        <v xml:space="preserve"> </v>
      </c>
      <c r="AH7" s="7" t="s">
        <v>373</v>
      </c>
      <c r="AI7" s="6" t="str">
        <f>_xlfn.XLOOKUP(AH7,対応表!$B:$B,対応表!$C:$C," ")</f>
        <v>つ</v>
      </c>
      <c r="AJ7" s="7" t="s">
        <v>374</v>
      </c>
      <c r="AK7" s="6" t="str">
        <f>_xlfn.XLOOKUP(AJ7,対応表!$B:$B,対応表!$C:$C," ")</f>
        <v>作</v>
      </c>
      <c r="AL7" s="7" t="s">
        <v>375</v>
      </c>
      <c r="AM7" s="6" t="str">
        <f>_xlfn.XLOOKUP(AL7,対応表!$B:$B,対応表!$C:$C," ")</f>
        <v>壁?</v>
      </c>
      <c r="AN7" s="7" t="s">
        <v>376</v>
      </c>
      <c r="AO7" s="6" t="str">
        <f>_xlfn.XLOOKUP(AN7,対応表!$B:$B,対応表!$C:$C," ")</f>
        <v xml:space="preserve"> </v>
      </c>
      <c r="AP7" s="17" t="s">
        <v>377</v>
      </c>
      <c r="AQ7" s="6" t="str">
        <f>_xlfn.XLOOKUP(AP7,対応表!$B:$B,対応表!$C:$C," ")</f>
        <v>ぇ</v>
      </c>
      <c r="AR7" s="7" t="s">
        <v>378</v>
      </c>
      <c r="AS7" s="6" t="str">
        <f>_xlfn.XLOOKUP(AR7,対応表!$B:$B,対応表!$C:$C," ")</f>
        <v xml:space="preserve"> </v>
      </c>
      <c r="AT7" s="7" t="s">
        <v>379</v>
      </c>
      <c r="AU7" s="6" t="str">
        <f>_xlfn.XLOOKUP(AT7,対応表!$B:$B,対応表!$C:$C," ")</f>
        <v xml:space="preserve"> </v>
      </c>
      <c r="AV7" s="17" t="s">
        <v>380</v>
      </c>
      <c r="AW7" s="6" t="str">
        <f>_xlfn.XLOOKUP(AV7,対応表!$B:$B,対応表!$C:$C," ")</f>
        <v xml:space="preserve"> </v>
      </c>
      <c r="AX7" s="7" t="s">
        <v>381</v>
      </c>
      <c r="AY7" s="6" t="str">
        <f>_xlfn.XLOOKUP(AX7,対応表!$B:$B,対応表!$C:$C," ")</f>
        <v xml:space="preserve"> </v>
      </c>
      <c r="AZ7" s="7" t="s">
        <v>382</v>
      </c>
      <c r="BA7" s="6" t="str">
        <f>_xlfn.XLOOKUP(AZ7,対応表!$B:$B,対応表!$C:$C," ")</f>
        <v xml:space="preserve"> </v>
      </c>
      <c r="BB7" s="7" t="s">
        <v>383</v>
      </c>
      <c r="BC7" s="6" t="str">
        <f>_xlfn.XLOOKUP(BB7,対応表!$B:$B,対応表!$C:$C," ")</f>
        <v xml:space="preserve"> </v>
      </c>
      <c r="BD7" s="7" t="s">
        <v>384</v>
      </c>
      <c r="BE7" s="6" t="str">
        <f>_xlfn.XLOOKUP(BD7,対応表!$B:$B,対応表!$C:$C," ")</f>
        <v>養</v>
      </c>
      <c r="BF7" s="7" t="s">
        <v>385</v>
      </c>
      <c r="BG7" s="6" t="str">
        <f>_xlfn.XLOOKUP(BF7,対応表!$B:$B,対応表!$C:$C," ")</f>
        <v xml:space="preserve"> </v>
      </c>
      <c r="BH7" s="7" t="s">
        <v>386</v>
      </c>
      <c r="BI7" s="6" t="str">
        <f>_xlfn.XLOOKUP(BH7,対応表!$B:$B,対応表!$C:$C," ")</f>
        <v xml:space="preserve"> </v>
      </c>
      <c r="BJ7" s="7" t="s">
        <v>387</v>
      </c>
      <c r="BK7" s="6" t="str">
        <f>_xlfn.XLOOKUP(BJ7,対応表!$B:$B,対応表!$C:$C," ")</f>
        <v xml:space="preserve"> </v>
      </c>
      <c r="BL7" s="7" t="s">
        <v>388</v>
      </c>
      <c r="BM7" s="6" t="str">
        <f>_xlfn.XLOOKUP(BL7,対応表!$B:$B,対応表!$C:$C," ")</f>
        <v xml:space="preserve"> </v>
      </c>
      <c r="BN7" s="7" t="s">
        <v>389</v>
      </c>
      <c r="BO7" s="6" t="str">
        <f>_xlfn.XLOOKUP(BN7,対応表!$B:$B,対応表!$C:$C," ")</f>
        <v xml:space="preserve"> </v>
      </c>
      <c r="BP7" s="7" t="s">
        <v>390</v>
      </c>
      <c r="BQ7" s="6" t="str">
        <f>_xlfn.XLOOKUP(BP7,対応表!$B:$B,対応表!$C:$C," ")</f>
        <v xml:space="preserve"> </v>
      </c>
      <c r="BR7" s="7" t="s">
        <v>391</v>
      </c>
      <c r="BS7" s="6" t="str">
        <f>_xlfn.XLOOKUP(BR7,対応表!$B:$B,対応表!$C:$C," ")</f>
        <v xml:space="preserve"> </v>
      </c>
      <c r="BT7" s="7" t="s">
        <v>392</v>
      </c>
      <c r="BU7" s="6" t="str">
        <f>_xlfn.XLOOKUP(BT7,対応表!$B:$B,対応表!$C:$C," ")</f>
        <v xml:space="preserve"> </v>
      </c>
      <c r="BV7" s="7" t="s">
        <v>393</v>
      </c>
      <c r="BW7" s="6" t="str">
        <f>_xlfn.XLOOKUP(BV7,対応表!$B:$B,対応表!$C:$C," ")</f>
        <v xml:space="preserve"> </v>
      </c>
      <c r="BX7" s="7" t="s">
        <v>394</v>
      </c>
      <c r="BY7" s="6" t="str">
        <f>_xlfn.XLOOKUP(BX7,対応表!$B:$B,対応表!$C:$C," ")</f>
        <v xml:space="preserve"> </v>
      </c>
      <c r="BZ7" s="7" t="s">
        <v>395</v>
      </c>
      <c r="CA7" s="6" t="str">
        <f>_xlfn.XLOOKUP(BZ7,対応表!$B:$B,対応表!$C:$C," ")</f>
        <v xml:space="preserve"> </v>
      </c>
      <c r="CB7" s="7" t="s">
        <v>396</v>
      </c>
      <c r="CC7" s="6" t="str">
        <f>_xlfn.XLOOKUP(CB7,対応表!$B:$B,対応表!$C:$C," ")</f>
        <v>係?</v>
      </c>
      <c r="CD7" s="7" t="s">
        <v>397</v>
      </c>
      <c r="CE7" s="6" t="str">
        <f>_xlfn.XLOOKUP(CD7,対応表!$B:$B,対応表!$C:$C," ")</f>
        <v xml:space="preserve"> </v>
      </c>
      <c r="CF7" s="7" t="s">
        <v>398</v>
      </c>
      <c r="CG7" s="6" t="str">
        <f>_xlfn.XLOOKUP(CF7,対応表!$B:$B,対応表!$C:$C," ")</f>
        <v xml:space="preserve"> </v>
      </c>
      <c r="CH7" s="7" t="s">
        <v>399</v>
      </c>
      <c r="CI7" s="6" t="str">
        <f>_xlfn.XLOOKUP(CH7,対応表!$B:$B,対応表!$C:$C," ")</f>
        <v xml:space="preserve"> </v>
      </c>
      <c r="CJ7" s="17" t="s">
        <v>400</v>
      </c>
      <c r="CK7" s="6" t="str">
        <f>_xlfn.XLOOKUP(CJ7,対応表!$B:$B,対応表!$C:$C," ")</f>
        <v xml:space="preserve"> </v>
      </c>
      <c r="CL7" s="7" t="s">
        <v>401</v>
      </c>
      <c r="CM7" s="6" t="str">
        <f>_xlfn.XLOOKUP(CL7,対応表!$B:$B,対応表!$C:$C," ")</f>
        <v xml:space="preserve"> </v>
      </c>
      <c r="CN7" s="7" t="s">
        <v>402</v>
      </c>
      <c r="CO7" s="6" t="str">
        <f>_xlfn.XLOOKUP(CN7,対応表!$B:$B,対応表!$C:$C," ")</f>
        <v xml:space="preserve"> </v>
      </c>
      <c r="CP7" s="7" t="s">
        <v>403</v>
      </c>
      <c r="CQ7" s="6" t="str">
        <f>_xlfn.XLOOKUP(CP7,対応表!$B:$B,対応表!$C:$C," ")</f>
        <v xml:space="preserve"> </v>
      </c>
      <c r="CR7" s="7" t="s">
        <v>404</v>
      </c>
      <c r="CS7" s="6" t="str">
        <f>_xlfn.XLOOKUP(CR7,対応表!$B:$B,対応表!$C:$C," ")</f>
        <v xml:space="preserve"> </v>
      </c>
      <c r="CT7" s="7" t="s">
        <v>405</v>
      </c>
      <c r="CU7" s="6" t="str">
        <f>_xlfn.XLOOKUP(CT7,対応表!$B:$B,対応表!$C:$C," ")</f>
        <v>房?</v>
      </c>
      <c r="CV7" s="7" t="s">
        <v>406</v>
      </c>
      <c r="CW7" s="6" t="str">
        <f>_xlfn.XLOOKUP(CV7,対応表!$B:$B,対応表!$C:$C," ")</f>
        <v>[凘]?</v>
      </c>
      <c r="CX7" s="7" t="s">
        <v>407</v>
      </c>
      <c r="CY7" s="6" t="str">
        <f>_xlfn.XLOOKUP(CX7,対応表!$B:$B,対応表!$C:$C," ")</f>
        <v xml:space="preserve"> </v>
      </c>
      <c r="CZ7" s="7" t="s">
        <v>408</v>
      </c>
      <c r="DA7" s="6" t="str">
        <f>_xlfn.XLOOKUP(CZ7,対応表!$B:$B,対応表!$C:$C," ")</f>
        <v xml:space="preserve"> </v>
      </c>
      <c r="DB7" s="17" t="s">
        <v>409</v>
      </c>
      <c r="DC7" s="6" t="str">
        <f>_xlfn.XLOOKUP(DB7,対応表!$B:$B,対応表!$C:$C," ")</f>
        <v xml:space="preserve"> </v>
      </c>
      <c r="DD7" s="7" t="s">
        <v>410</v>
      </c>
      <c r="DE7" s="6" t="str">
        <f>_xlfn.XLOOKUP(DD7,対応表!$B:$B,対応表!$C:$C," ")</f>
        <v xml:space="preserve"> </v>
      </c>
      <c r="DF7" s="7" t="s">
        <v>411</v>
      </c>
      <c r="DG7" s="6" t="str">
        <f>_xlfn.XLOOKUP(DF7,対応表!$B:$B,対応表!$C:$C," ")</f>
        <v xml:space="preserve"> </v>
      </c>
      <c r="DH7" s="7" t="s">
        <v>412</v>
      </c>
      <c r="DI7" s="6" t="str">
        <f>_xlfn.XLOOKUP(DH7,対応表!$B:$B,対応表!$C:$C," ")</f>
        <v xml:space="preserve"> </v>
      </c>
      <c r="DJ7" s="7" t="s">
        <v>413</v>
      </c>
      <c r="DK7" s="6" t="str">
        <f>_xlfn.XLOOKUP(DJ7,対応表!$B:$B,対応表!$C:$C," ")</f>
        <v xml:space="preserve"> </v>
      </c>
      <c r="DL7" s="7" t="s">
        <v>414</v>
      </c>
      <c r="DM7" s="6" t="str">
        <f>_xlfn.XLOOKUP(DL7,対応表!$B:$B,対応表!$C:$C," ")</f>
        <v>文?</v>
      </c>
      <c r="DN7" s="7" t="s">
        <v>415</v>
      </c>
      <c r="DO7" s="6" t="str">
        <f>_xlfn.XLOOKUP(DN7,対応表!$B:$B,対応表!$C:$C," ")</f>
        <v xml:space="preserve"> </v>
      </c>
      <c r="DP7" s="7" t="s">
        <v>416</v>
      </c>
      <c r="DQ7" s="6" t="str">
        <f>_xlfn.XLOOKUP(DP7,対応表!$B:$B,対応表!$C:$C," ")</f>
        <v xml:space="preserve"> </v>
      </c>
      <c r="DR7" s="7" t="s">
        <v>417</v>
      </c>
      <c r="DS7" s="6" t="str">
        <f>_xlfn.XLOOKUP(DR7,対応表!$B:$B,対応表!$C:$C," ")</f>
        <v xml:space="preserve"> </v>
      </c>
      <c r="DT7" s="7" t="s">
        <v>418</v>
      </c>
      <c r="DU7" s="6" t="str">
        <f>_xlfn.XLOOKUP(DT7,対応表!$B:$B,対応表!$C:$C," ")</f>
        <v xml:space="preserve"> </v>
      </c>
      <c r="DV7" s="7" t="s">
        <v>419</v>
      </c>
      <c r="DW7" s="6" t="str">
        <f>_xlfn.XLOOKUP(DV7,対応表!$B:$B,対応表!$C:$C," ")</f>
        <v>訪</v>
      </c>
      <c r="DX7" s="7" t="s">
        <v>420</v>
      </c>
      <c r="DY7" s="6" t="str">
        <f>_xlfn.XLOOKUP(DX7,対応表!$B:$B,対応表!$C:$C," ")</f>
        <v xml:space="preserve"> </v>
      </c>
      <c r="DZ7" s="7" t="s">
        <v>421</v>
      </c>
      <c r="EA7" s="6" t="str">
        <f>_xlfn.XLOOKUP(DZ7,対応表!$B:$B,対応表!$C:$C," ")</f>
        <v>選</v>
      </c>
      <c r="EB7" s="7" t="s">
        <v>422</v>
      </c>
      <c r="EC7" s="6" t="str">
        <f>_xlfn.XLOOKUP(EB7,対応表!$B:$B,対応表!$C:$C," ")</f>
        <v xml:space="preserve"> </v>
      </c>
      <c r="ED7" s="7" t="s">
        <v>423</v>
      </c>
      <c r="EE7" s="6" t="str">
        <f>_xlfn.XLOOKUP(ED7,対応表!$B:$B,対応表!$C:$C," ")</f>
        <v xml:space="preserve"> </v>
      </c>
      <c r="EF7" s="17" t="s">
        <v>424</v>
      </c>
      <c r="EG7" s="6" t="str">
        <f>_xlfn.XLOOKUP(EF7,対応表!$B:$B,対応表!$C:$C," ")</f>
        <v xml:space="preserve"> </v>
      </c>
      <c r="EH7" s="7" t="s">
        <v>425</v>
      </c>
      <c r="EI7" s="6" t="str">
        <f>_xlfn.XLOOKUP(EH7,対応表!$B:$B,対応表!$C:$C," ")</f>
        <v xml:space="preserve"> </v>
      </c>
      <c r="EJ7" s="7" t="s">
        <v>426</v>
      </c>
      <c r="EK7" s="6" t="str">
        <f>_xlfn.XLOOKUP(EJ7,対応表!$B:$B,対応表!$C:$C," ")</f>
        <v xml:space="preserve"> </v>
      </c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</row>
    <row r="8" spans="1:219" ht="30" customHeight="1" x14ac:dyDescent="0.4">
      <c r="A8" s="9" t="s">
        <v>427</v>
      </c>
      <c r="B8" s="7" t="s">
        <v>428</v>
      </c>
      <c r="C8" s="6" t="str">
        <f>_xlfn.XLOOKUP(B8,対応表!$B:$B,対応表!$C:$C," ")</f>
        <v>記</v>
      </c>
      <c r="D8" s="7" t="s">
        <v>429</v>
      </c>
      <c r="E8" s="6" t="str" cm="1">
        <f t="array" ref="E8">_xlfn.XLOOKUP(D8,対応表!$B:B,対応表!$C:C," ")</f>
        <v>言</v>
      </c>
      <c r="F8" s="7" t="s">
        <v>430</v>
      </c>
      <c r="G8" s="6" t="str">
        <f>_xlfn.XLOOKUP(F8,対応表!$B:$B,対応表!$C:$C," ")</f>
        <v xml:space="preserve"> </v>
      </c>
      <c r="H8" s="7" t="s">
        <v>431</v>
      </c>
      <c r="I8" s="6" t="str">
        <f>_xlfn.XLOOKUP(H8,対応表!$B:$B,対応表!$C:$C," ")</f>
        <v xml:space="preserve"> </v>
      </c>
      <c r="J8" s="7" t="s">
        <v>432</v>
      </c>
      <c r="K8" s="6" t="str">
        <f>_xlfn.XLOOKUP(J8,対応表!$B:$B,対応表!$C:$C," ")</f>
        <v xml:space="preserve"> </v>
      </c>
      <c r="L8" s="7" t="s">
        <v>433</v>
      </c>
      <c r="M8" s="6" t="str">
        <f>_xlfn.XLOOKUP(L8,対応表!$B:$B,対応表!$C:$C," ")</f>
        <v>取</v>
      </c>
      <c r="N8" s="7" t="s">
        <v>434</v>
      </c>
      <c r="O8" s="6" t="str">
        <f>_xlfn.XLOOKUP(N8,対応表!$B:$B,対応表!$C:$C," ")</f>
        <v xml:space="preserve"> </v>
      </c>
      <c r="P8" s="7" t="s">
        <v>435</v>
      </c>
      <c r="Q8" s="6" t="str">
        <f>_xlfn.XLOOKUP(P8,対応表!$B:$B,対応表!$C:$C," ")</f>
        <v>出</v>
      </c>
      <c r="R8" s="7" t="s">
        <v>436</v>
      </c>
      <c r="S8" s="6" t="str">
        <f>_xlfn.XLOOKUP(R8,対応表!$B:$B,対応表!$C:$C," ")</f>
        <v xml:space="preserve"> </v>
      </c>
      <c r="T8" s="7" t="s">
        <v>437</v>
      </c>
      <c r="U8" s="6" t="str">
        <f>_xlfn.XLOOKUP(T8,対応表!$B:$B,対応表!$C:$C," ")</f>
        <v xml:space="preserve"> </v>
      </c>
      <c r="V8" s="7" t="s">
        <v>438</v>
      </c>
      <c r="W8" s="6" t="str">
        <f>_xlfn.XLOOKUP(V8,対応表!$B:$B,対応表!$C:$C," ")</f>
        <v xml:space="preserve"> </v>
      </c>
      <c r="X8" s="7" t="s">
        <v>439</v>
      </c>
      <c r="Y8" s="6" t="str">
        <f>_xlfn.XLOOKUP(X8,対応表!$B:$B,対応表!$C:$C," ")</f>
        <v>終</v>
      </c>
      <c r="Z8" s="7" t="s">
        <v>440</v>
      </c>
      <c r="AA8" s="6" t="str">
        <f>_xlfn.XLOOKUP(Z8,対応表!$B:$B,対応表!$C:$C," ")</f>
        <v xml:space="preserve"> </v>
      </c>
      <c r="AB8" s="7" t="s">
        <v>441</v>
      </c>
      <c r="AC8" s="6" t="str">
        <f>_xlfn.XLOOKUP(AB8,対応表!$B:$B,対応表!$C:$C," ")</f>
        <v xml:space="preserve"> </v>
      </c>
      <c r="AD8" s="7" t="s">
        <v>442</v>
      </c>
      <c r="AE8" s="6" t="str">
        <f>_xlfn.XLOOKUP(AD8,対応表!$B:$B,対応表!$C:$C," ")</f>
        <v xml:space="preserve"> </v>
      </c>
      <c r="AF8" s="7" t="s">
        <v>443</v>
      </c>
      <c r="AG8" s="6" t="str">
        <f>_xlfn.XLOOKUP(AF8,対応表!$B:$B,対応表!$C:$C," ")</f>
        <v xml:space="preserve"> </v>
      </c>
      <c r="AH8" s="7" t="s">
        <v>444</v>
      </c>
      <c r="AI8" s="6" t="str">
        <f>_xlfn.XLOOKUP(AH8,対応表!$B:$B,対応表!$C:$C," ")</f>
        <v xml:space="preserve"> </v>
      </c>
      <c r="AJ8" s="7" t="s">
        <v>445</v>
      </c>
      <c r="AK8" s="6" t="str">
        <f>_xlfn.XLOOKUP(AJ8,対応表!$B:$B,対応表!$C:$C," ")</f>
        <v xml:space="preserve"> </v>
      </c>
      <c r="AL8" s="7" t="s">
        <v>446</v>
      </c>
      <c r="AM8" s="6" t="str">
        <f>_xlfn.XLOOKUP(AL8,対応表!$B:$B,対応表!$C:$C,"に")</f>
        <v>に</v>
      </c>
      <c r="AN8" s="7" t="s">
        <v>447</v>
      </c>
      <c r="AO8" s="6" t="str">
        <f>_xlfn.XLOOKUP(AN8,対応表!$B:$B,対応表!$C:$C," ")</f>
        <v>止?</v>
      </c>
      <c r="AP8" s="7" t="s">
        <v>448</v>
      </c>
      <c r="AQ8" s="6" t="str">
        <f>_xlfn.XLOOKUP(AP8,対応表!$B:$B,対応表!$C:$C," ")</f>
        <v>ん</v>
      </c>
      <c r="AR8" s="7" t="s">
        <v>449</v>
      </c>
      <c r="AS8" s="6" t="str">
        <f>_xlfn.XLOOKUP(AR8,対応表!$B:$B,対応表!$C:$C," ")</f>
        <v xml:space="preserve"> </v>
      </c>
      <c r="AT8" s="7" t="s">
        <v>450</v>
      </c>
      <c r="AU8" s="6" t="str">
        <f>_xlfn.XLOOKUP(AT8,対応表!$B:$B,対応表!$C:$C," ")</f>
        <v xml:space="preserve"> </v>
      </c>
      <c r="AV8" s="7" t="s">
        <v>451</v>
      </c>
      <c r="AW8" s="6" t="str">
        <f>_xlfn.XLOOKUP(AV8,対応表!$B:$B,対応表!$C:$C," ")</f>
        <v xml:space="preserve"> </v>
      </c>
      <c r="AX8" s="7" t="s">
        <v>452</v>
      </c>
      <c r="AY8" s="6" t="str">
        <f>_xlfn.XLOOKUP(AX8,対応表!$B:$B,対応表!$C:$C," ")</f>
        <v>ぐ</v>
      </c>
      <c r="AZ8" s="7" t="s">
        <v>453</v>
      </c>
      <c r="BA8" s="6" t="str">
        <f>_xlfn.XLOOKUP(AZ8,対応表!$B:$B,対応表!$C:$C," ")</f>
        <v>道</v>
      </c>
      <c r="BB8" s="7" t="s">
        <v>454</v>
      </c>
      <c r="BC8" s="6" t="str">
        <f>_xlfn.XLOOKUP(BB8,対応表!$B:$B,対応表!$C:$C," ")</f>
        <v>良</v>
      </c>
      <c r="BD8" s="7" t="s">
        <v>455</v>
      </c>
      <c r="BE8" s="6" t="str">
        <f>_xlfn.XLOOKUP(BD8,対応表!$B:$B,対応表!$C:$C," ")</f>
        <v xml:space="preserve"> </v>
      </c>
      <c r="BF8" s="7" t="s">
        <v>456</v>
      </c>
      <c r="BG8" s="6" t="str">
        <f>_xlfn.XLOOKUP(BF8,対応表!$B:$B,対応表!$C:$C," ")</f>
        <v xml:space="preserve"> </v>
      </c>
      <c r="BH8" s="7" t="s">
        <v>457</v>
      </c>
      <c r="BI8" s="6" t="str">
        <f>_xlfn.XLOOKUP(BH8,対応表!$B:$B,対応表!$C:$C," ")</f>
        <v>丁</v>
      </c>
      <c r="BJ8" s="7" t="s">
        <v>458</v>
      </c>
      <c r="BK8" s="6" t="str">
        <f>_xlfn.XLOOKUP(BJ8,対応表!$B:$B,対応表!$C:$C," ")</f>
        <v xml:space="preserve"> </v>
      </c>
      <c r="BL8" s="7" t="s">
        <v>459</v>
      </c>
      <c r="BM8" s="6" t="str">
        <f>_xlfn.XLOOKUP(BL8,対応表!$B:$B,対応表!$C:$C," ")</f>
        <v xml:space="preserve"> </v>
      </c>
      <c r="BN8" s="7" t="s">
        <v>460</v>
      </c>
      <c r="BO8" s="6" t="str">
        <f>_xlfn.XLOOKUP(BN8,対応表!$B:$B,対応表!$C:$C," ")</f>
        <v xml:space="preserve"> </v>
      </c>
      <c r="BP8" s="7" t="s">
        <v>461</v>
      </c>
      <c r="BQ8" s="6" t="str">
        <f>_xlfn.XLOOKUP(BP8,対応表!$B:$B,対応表!$C:$C," ")</f>
        <v>新</v>
      </c>
      <c r="BR8" s="7" t="s">
        <v>462</v>
      </c>
      <c r="BS8" s="6" t="str">
        <f>_xlfn.XLOOKUP(BR8,対応表!$B:$B,対応表!$C:$C," ")</f>
        <v xml:space="preserve"> </v>
      </c>
      <c r="BT8" s="7" t="s">
        <v>463</v>
      </c>
      <c r="BU8" s="6" t="str">
        <f>_xlfn.XLOOKUP(BT8,対応表!$B:$B,対応表!$C:$C," ")</f>
        <v xml:space="preserve"> </v>
      </c>
      <c r="BV8" s="7" t="s">
        <v>464</v>
      </c>
      <c r="BW8" s="6" t="str">
        <f>_xlfn.XLOOKUP(BV8,対応表!$B:$B,対応表!$C:$C," ")</f>
        <v xml:space="preserve"> </v>
      </c>
      <c r="BX8" s="7" t="s">
        <v>465</v>
      </c>
      <c r="BY8" s="6" t="str">
        <f>_xlfn.XLOOKUP(BX8,対応表!$B:$B,対応表!$C:$C," ")</f>
        <v xml:space="preserve"> </v>
      </c>
      <c r="BZ8" s="17" t="s">
        <v>466</v>
      </c>
      <c r="CA8" s="6" t="str">
        <f>_xlfn.XLOOKUP(BZ8,対応表!$B:$B,対応表!$C:$C," ")</f>
        <v xml:space="preserve"> </v>
      </c>
      <c r="CB8" s="7" t="s">
        <v>467</v>
      </c>
      <c r="CC8" s="6" t="str">
        <f>_xlfn.XLOOKUP(CB8,対応表!$B:$B,対応表!$C:$C," ")</f>
        <v xml:space="preserve"> </v>
      </c>
      <c r="CD8" s="7" t="s">
        <v>468</v>
      </c>
      <c r="CE8" s="6" t="str">
        <f>_xlfn.XLOOKUP(CD8,対応表!$B:$B,対応表!$C:$C," ")</f>
        <v xml:space="preserve"> </v>
      </c>
      <c r="CF8" s="7" t="s">
        <v>469</v>
      </c>
      <c r="CG8" s="6" t="str">
        <f>_xlfn.XLOOKUP(CF8,対応表!$B:$B,対応表!$C:$C," ")</f>
        <v>上</v>
      </c>
      <c r="CH8" s="7" t="s">
        <v>470</v>
      </c>
      <c r="CI8" s="6" t="str">
        <f>_xlfn.XLOOKUP(CH8,対応表!$B:$B,対応表!$C:$C," ")</f>
        <v xml:space="preserve"> </v>
      </c>
      <c r="CJ8" s="7" t="s">
        <v>471</v>
      </c>
      <c r="CK8" s="6" t="str">
        <f>_xlfn.XLOOKUP(CJ8,対応表!$B:$B,対応表!$C:$C," ")</f>
        <v>ご</v>
      </c>
      <c r="CL8" s="7" t="s">
        <v>472</v>
      </c>
      <c r="CM8" s="6" t="str">
        <f>_xlfn.XLOOKUP(CL8,対応表!$B:$B,対応表!$C:$C," ")</f>
        <v xml:space="preserve"> </v>
      </c>
      <c r="CN8" s="7" t="s">
        <v>473</v>
      </c>
      <c r="CO8" s="6" t="str">
        <f>_xlfn.XLOOKUP(CN8,対応表!$B:$B,対応表!$C:$C," ")</f>
        <v xml:space="preserve"> </v>
      </c>
      <c r="CP8" s="7" t="s">
        <v>474</v>
      </c>
      <c r="CQ8" s="6" t="str">
        <f>_xlfn.XLOOKUP(CP8,対応表!$B:$B,対応表!$C:$C," ")</f>
        <v xml:space="preserve"> </v>
      </c>
      <c r="CR8" s="7" t="s">
        <v>475</v>
      </c>
      <c r="CS8" s="6" t="str">
        <f>_xlfn.XLOOKUP(CR8,対応表!$B:$B,対応表!$C:$C," ")</f>
        <v xml:space="preserve"> </v>
      </c>
      <c r="CT8" s="7" t="s">
        <v>476</v>
      </c>
      <c r="CU8" s="6" t="str">
        <f>_xlfn.XLOOKUP(CT8,対応表!$B:$B,対応表!$C:$C," ")</f>
        <v xml:space="preserve"> </v>
      </c>
      <c r="CV8" s="7" t="s">
        <v>477</v>
      </c>
      <c r="CW8" s="6" t="str">
        <f>_xlfn.XLOOKUP(CV8,対応表!$B:$B,対応表!$C:$C," ")</f>
        <v xml:space="preserve"> </v>
      </c>
      <c r="CX8" s="7" t="s">
        <v>478</v>
      </c>
      <c r="CY8" s="6" t="str">
        <f>_xlfn.XLOOKUP(CX8,対応表!$B:$B,対応表!$C:$C," ")</f>
        <v>力</v>
      </c>
      <c r="CZ8" s="7" t="s">
        <v>479</v>
      </c>
      <c r="DA8" s="6" t="str">
        <f>_xlfn.XLOOKUP(CZ8,対応表!$B:$B,対応表!$C:$C," ")</f>
        <v xml:space="preserve"> </v>
      </c>
      <c r="DB8" s="7" t="s">
        <v>480</v>
      </c>
      <c r="DC8" s="6" t="str">
        <f>_xlfn.XLOOKUP(DB8,対応表!$B:$B,対応表!$C:$C," ")</f>
        <v xml:space="preserve"> </v>
      </c>
      <c r="DD8" s="7" t="s">
        <v>481</v>
      </c>
      <c r="DE8" s="6" t="str">
        <f>_xlfn.XLOOKUP(DD8,対応表!$B:$B,対応表!$C:$C," ")</f>
        <v xml:space="preserve"> </v>
      </c>
      <c r="DF8" s="7" t="s">
        <v>482</v>
      </c>
      <c r="DG8" s="6" t="str">
        <f>_xlfn.XLOOKUP(DF8,対応表!$B:$B,対応表!$C:$C," ")</f>
        <v xml:space="preserve"> </v>
      </c>
      <c r="DH8" s="17" t="s">
        <v>483</v>
      </c>
      <c r="DI8" s="6" t="str">
        <f>_xlfn.XLOOKUP(DH8,対応表!$B:$B,対応表!$C:$C," ")</f>
        <v>流?</v>
      </c>
      <c r="DJ8" s="7" t="s">
        <v>484</v>
      </c>
      <c r="DK8" s="6" t="str">
        <f>_xlfn.XLOOKUP(DJ8,対応表!$B:$B,対応表!$C:$C," ")</f>
        <v xml:space="preserve"> </v>
      </c>
      <c r="DL8" s="7" t="s">
        <v>485</v>
      </c>
      <c r="DM8" s="6" t="str">
        <f>_xlfn.XLOOKUP(DL8,対応表!$B:$B,対応表!$C:$C," ")</f>
        <v xml:space="preserve"> </v>
      </c>
      <c r="DN8" s="7" t="s">
        <v>486</v>
      </c>
      <c r="DO8" s="6" t="str">
        <f>_xlfn.XLOOKUP(DN8,対応表!$B:$B,対応表!$C:$C," ")</f>
        <v xml:space="preserve"> </v>
      </c>
      <c r="DP8" s="7" t="s">
        <v>487</v>
      </c>
      <c r="DQ8" s="6" t="str">
        <f>_xlfn.XLOOKUP(DP8,対応表!$B:$B,対応表!$C:$C," ")</f>
        <v xml:space="preserve"> </v>
      </c>
      <c r="DR8" s="7" t="s">
        <v>488</v>
      </c>
      <c r="DS8" s="6" t="str">
        <f>_xlfn.XLOOKUP(DR8,対応表!$B:$B,対応表!$C:$C," ")</f>
        <v xml:space="preserve"> </v>
      </c>
      <c r="DT8" s="7" t="s">
        <v>489</v>
      </c>
      <c r="DU8" s="6" t="str">
        <f>_xlfn.XLOOKUP(DT8,対応表!$B:$B,対応表!$C:$C," ")</f>
        <v xml:space="preserve"> </v>
      </c>
      <c r="DV8" s="7" t="s">
        <v>490</v>
      </c>
      <c r="DW8" s="6" t="str">
        <f>_xlfn.XLOOKUP(DV8,対応表!$B:$B,対応表!$C:$C," ")</f>
        <v xml:space="preserve"> </v>
      </c>
      <c r="DX8" s="7" t="s">
        <v>491</v>
      </c>
      <c r="DY8" s="6" t="str">
        <f>_xlfn.XLOOKUP(DX8,対応表!$B:$B,対応表!$C:$C," ")</f>
        <v xml:space="preserve"> </v>
      </c>
      <c r="DZ8" s="7" t="s">
        <v>492</v>
      </c>
      <c r="EA8" s="6" t="str">
        <f>_xlfn.XLOOKUP(DZ8,対応表!$B:$B,対応表!$C:$C," ")</f>
        <v xml:space="preserve"> </v>
      </c>
      <c r="EB8" s="7" t="s">
        <v>493</v>
      </c>
      <c r="EC8" s="6" t="str">
        <f>_xlfn.XLOOKUP(EB8,対応表!$B:$B,対応表!$C:$C," ")</f>
        <v>散?</v>
      </c>
      <c r="ED8" s="7" t="s">
        <v>494</v>
      </c>
      <c r="EE8" s="6" t="str">
        <f>_xlfn.XLOOKUP(ED8,対応表!$B:$B,対応表!$C:$C," ")</f>
        <v xml:space="preserve"> </v>
      </c>
      <c r="EF8" s="17" t="s">
        <v>495</v>
      </c>
      <c r="EG8" s="6" t="str">
        <f>_xlfn.XLOOKUP(EF8,対応表!$B:$B,対応表!$C:$C," ")</f>
        <v xml:space="preserve"> </v>
      </c>
      <c r="EH8" s="7" t="s">
        <v>496</v>
      </c>
      <c r="EI8" s="6" t="str">
        <f>_xlfn.XLOOKUP(EH8,対応表!$B:$B,対応表!$C:$C," ")</f>
        <v xml:space="preserve"> </v>
      </c>
      <c r="EJ8" s="7" t="s">
        <v>497</v>
      </c>
      <c r="EK8" s="6" t="str">
        <f>_xlfn.XLOOKUP(EJ8,対応表!$B:$B,対応表!$C:$C," ")</f>
        <v xml:space="preserve"> </v>
      </c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</row>
    <row r="9" spans="1:219" ht="30" customHeight="1" x14ac:dyDescent="0.4">
      <c r="A9" s="9" t="s">
        <v>498</v>
      </c>
      <c r="B9" s="7" t="s">
        <v>499</v>
      </c>
      <c r="C9" s="6" t="str">
        <f>_xlfn.XLOOKUP(B9,対応表!$B:$B,対応表!$C:$C," ")</f>
        <v>す</v>
      </c>
      <c r="D9" s="7" t="s">
        <v>500</v>
      </c>
      <c r="E9" s="22" t="str" cm="1">
        <f t="array" ref="E9">_xlfn.XLOOKUP(D9,対応表!$B:B,対応表!$C:C,"葉")</f>
        <v>葉?</v>
      </c>
      <c r="F9" s="7" t="s">
        <v>501</v>
      </c>
      <c r="G9" s="6" t="str">
        <f>_xlfn.XLOOKUP(F9,対応表!$B:$B,対応表!$C:$C," ")</f>
        <v>活</v>
      </c>
      <c r="H9" s="7" t="s">
        <v>502</v>
      </c>
      <c r="I9" s="6" t="str">
        <f>_xlfn.XLOOKUP(H9,対応表!$B:$B,対応表!$C:$C," ")</f>
        <v xml:space="preserve"> </v>
      </c>
      <c r="J9" s="7" t="s">
        <v>503</v>
      </c>
      <c r="K9" s="6" t="str">
        <f>_xlfn.XLOOKUP(J9,対応表!$B:$B,対応表!$C:$C," ")</f>
        <v>を</v>
      </c>
      <c r="L9" s="7" t="s">
        <v>504</v>
      </c>
      <c r="M9" s="6" t="str">
        <f>_xlfn.XLOOKUP(L9,対応表!$B:$B,対応表!$C:$C,"り")</f>
        <v>り</v>
      </c>
      <c r="N9" s="7" t="s">
        <v>505</v>
      </c>
      <c r="O9" s="6" t="str">
        <f>_xlfn.XLOOKUP(N9,対応表!$B:$B,対応表!$C:$C," ")</f>
        <v xml:space="preserve"> </v>
      </c>
      <c r="P9" s="7" t="s">
        <v>506</v>
      </c>
      <c r="Q9" s="6" t="str">
        <f>_xlfn.XLOOKUP(P9,対応表!$B:$B,対応表!$C:$C," ")</f>
        <v xml:space="preserve"> </v>
      </c>
      <c r="R9" s="7" t="s">
        <v>507</v>
      </c>
      <c r="S9" s="6" t="str">
        <f>_xlfn.XLOOKUP(R9,対応表!$B:$B,対応表!$C:$C," ")</f>
        <v xml:space="preserve"> </v>
      </c>
      <c r="T9" s="7" t="s">
        <v>508</v>
      </c>
      <c r="U9" s="6" t="str">
        <f>_xlfn.XLOOKUP(T9,対応表!$B:$B,対応表!$C:$C," ")</f>
        <v xml:space="preserve"> </v>
      </c>
      <c r="V9" s="7" t="s">
        <v>509</v>
      </c>
      <c r="W9" s="6" t="str">
        <f>_xlfn.XLOOKUP(V9,対応表!$B:$B,対応表!$C:$C," ")</f>
        <v xml:space="preserve"> </v>
      </c>
      <c r="X9" s="7" t="s">
        <v>510</v>
      </c>
      <c r="Y9" s="6" t="str">
        <f>_xlfn.XLOOKUP(X9,対応表!$B:$B,対応表!$C:$C," ")</f>
        <v>ぞ</v>
      </c>
      <c r="Z9" s="7" t="s">
        <v>511</v>
      </c>
      <c r="AA9" s="6" t="str">
        <f>_xlfn.XLOOKUP(Z9,対応表!$B:$B,対応表!$C:$C," ")</f>
        <v xml:space="preserve"> </v>
      </c>
      <c r="AB9" s="7" t="s">
        <v>512</v>
      </c>
      <c r="AC9" s="6" t="str">
        <f>_xlfn.XLOOKUP(AB9,対応表!$B:$B,対応表!$C:$C," ")</f>
        <v>導?</v>
      </c>
      <c r="AD9" s="7" t="s">
        <v>513</v>
      </c>
      <c r="AE9" s="6" t="str">
        <f>_xlfn.XLOOKUP(AD9,対応表!$B:$B,対応表!$C:$C," ")</f>
        <v xml:space="preserve"> </v>
      </c>
      <c r="AF9" s="7" t="s">
        <v>514</v>
      </c>
      <c r="AG9" s="6" t="str">
        <f>_xlfn.XLOOKUP(AF9,対応表!$B:$B,対応表!$C:$C," ")</f>
        <v xml:space="preserve"> </v>
      </c>
      <c r="AH9" s="17" t="s">
        <v>515</v>
      </c>
      <c r="AI9" s="6" t="str">
        <f>_xlfn.XLOOKUP(AH9,対応表!$B:$B,対応表!$C:$C," ")</f>
        <v xml:space="preserve"> </v>
      </c>
      <c r="AJ9" s="7" t="s">
        <v>516</v>
      </c>
      <c r="AK9" s="6" t="str">
        <f>_xlfn.XLOOKUP(AJ9,対応表!$B:$B,対応表!$C:$C," ")</f>
        <v xml:space="preserve"> </v>
      </c>
      <c r="AL9" s="7" t="s">
        <v>517</v>
      </c>
      <c r="AM9" s="6" t="str">
        <f>_xlfn.XLOOKUP(AL9,対応表!$B:$B,対応表!$C:$C," ")</f>
        <v>向</v>
      </c>
      <c r="AN9" s="7" t="s">
        <v>518</v>
      </c>
      <c r="AO9" s="6" t="str">
        <f>_xlfn.XLOOKUP(AN9,対応表!$B:$B,対応表!$C:$C," ")</f>
        <v>様?</v>
      </c>
      <c r="AP9" s="17" t="s">
        <v>519</v>
      </c>
      <c r="AQ9" s="6" t="str">
        <f>_xlfn.XLOOKUP(AP9,対応表!$B:$B,対応表!$C:$C," ")</f>
        <v xml:space="preserve"> </v>
      </c>
      <c r="AR9" s="7" t="s">
        <v>520</v>
      </c>
      <c r="AS9" s="6" t="str">
        <f>_xlfn.XLOOKUP(AR9,対応表!$B:$B,対応表!$C:$C," ")</f>
        <v xml:space="preserve"> </v>
      </c>
      <c r="AT9" s="7" t="s">
        <v>521</v>
      </c>
      <c r="AU9" s="6" t="str">
        <f>_xlfn.XLOOKUP(AT9,対応表!$B:$B,対応表!$C:$C," ")</f>
        <v xml:space="preserve"> </v>
      </c>
      <c r="AV9" s="7" t="s">
        <v>522</v>
      </c>
      <c r="AW9" s="6" t="str">
        <f>_xlfn.XLOOKUP(AV9,対応表!$B:$B,対応表!$C:$C," ")</f>
        <v xml:space="preserve"> </v>
      </c>
      <c r="AX9" s="7" t="s">
        <v>523</v>
      </c>
      <c r="AY9" s="6" t="str">
        <f>_xlfn.XLOOKUP(AX9,対応表!$B:$B,対応表!$C:$C," ")</f>
        <v xml:space="preserve"> </v>
      </c>
      <c r="AZ9" s="7" t="s">
        <v>524</v>
      </c>
      <c r="BA9" s="6" t="str">
        <f>_xlfn.XLOOKUP(AZ9,対応表!$B:$B,対応表!$C:$C,"に")</f>
        <v>に</v>
      </c>
      <c r="BB9" s="7" t="s">
        <v>525</v>
      </c>
      <c r="BC9" s="6" t="str">
        <f>_xlfn.XLOOKUP(BB9,対応表!$B:$B,対応表!$C:$C,"く")</f>
        <v>く</v>
      </c>
      <c r="BD9" s="7" t="s">
        <v>526</v>
      </c>
      <c r="BE9" s="6" t="str">
        <f>_xlfn.XLOOKUP(BD9,対応表!$B:$B,対応表!$C:$C," ")</f>
        <v xml:space="preserve"> </v>
      </c>
      <c r="BF9" s="7" t="s">
        <v>527</v>
      </c>
      <c r="BG9" s="6" t="str">
        <f>_xlfn.XLOOKUP(BF9,対応表!$B:$B,対応表!$C:$C," ")</f>
        <v xml:space="preserve"> </v>
      </c>
      <c r="BH9" s="7" t="s">
        <v>528</v>
      </c>
      <c r="BI9" s="6" t="str">
        <f>_xlfn.XLOOKUP(BH9,対応表!$B:$B,対応表!$C:$C," ")</f>
        <v>重</v>
      </c>
      <c r="BJ9" s="7" t="s">
        <v>529</v>
      </c>
      <c r="BK9" s="6" t="str">
        <f>_xlfn.XLOOKUP(BJ9,対応表!$B:$B,対応表!$C:$C," ")</f>
        <v xml:space="preserve"> </v>
      </c>
      <c r="BL9" s="7" t="s">
        <v>530</v>
      </c>
      <c r="BM9" s="6" t="str">
        <f>_xlfn.XLOOKUP(BL9,対応表!$B:$B,対応表!$C:$C," ")</f>
        <v xml:space="preserve"> </v>
      </c>
      <c r="BN9" s="7" t="s">
        <v>531</v>
      </c>
      <c r="BO9" s="6" t="str">
        <f>_xlfn.XLOOKUP(BN9,対応表!$B:$B,対応表!$C:$C," ")</f>
        <v xml:space="preserve"> </v>
      </c>
      <c r="BP9" s="7" t="s">
        <v>532</v>
      </c>
      <c r="BQ9" s="6" t="str">
        <f>_xlfn.XLOOKUP(BP9,対応表!$B:$B,対応表!$C:$C," ")</f>
        <v>祝</v>
      </c>
      <c r="BR9" s="7" t="s">
        <v>533</v>
      </c>
      <c r="BS9" s="6" t="str">
        <f>_xlfn.XLOOKUP(BR9,対応表!$B:$B,対応表!$C:$C," ")</f>
        <v xml:space="preserve"> </v>
      </c>
      <c r="BT9" s="7" t="s">
        <v>534</v>
      </c>
      <c r="BU9" s="6" t="str">
        <f>_xlfn.XLOOKUP(BT9,対応表!$B:$B,対応表!$C:$C," ")</f>
        <v xml:space="preserve"> </v>
      </c>
      <c r="BV9" s="7" t="s">
        <v>535</v>
      </c>
      <c r="BW9" s="6" t="str">
        <f>_xlfn.XLOOKUP(BV9,対応表!$B:$B,対応表!$C:$C," ")</f>
        <v xml:space="preserve"> </v>
      </c>
      <c r="BX9" s="17" t="s">
        <v>536</v>
      </c>
      <c r="BY9" s="6" t="str">
        <f>_xlfn.XLOOKUP(BX9,対応表!$B:$B,対応表!$C:$C," ")</f>
        <v xml:space="preserve"> </v>
      </c>
      <c r="BZ9" s="7" t="s">
        <v>537</v>
      </c>
      <c r="CA9" s="6" t="str">
        <f>_xlfn.XLOOKUP(BZ9,対応表!$B:$B,対応表!$C:$C," ")</f>
        <v xml:space="preserve"> </v>
      </c>
      <c r="CB9" s="7" t="s">
        <v>538</v>
      </c>
      <c r="CC9" s="6" t="str">
        <f>_xlfn.XLOOKUP(CB9,対応表!$B:$B,対応表!$C:$C," ")</f>
        <v xml:space="preserve"> </v>
      </c>
      <c r="CD9" s="7" t="s">
        <v>539</v>
      </c>
      <c r="CE9" s="6" t="str">
        <f>_xlfn.XLOOKUP(CD9,対応表!$B:$B,対応表!$C:$C," ")</f>
        <v xml:space="preserve"> </v>
      </c>
      <c r="CF9" s="7" t="s">
        <v>540</v>
      </c>
      <c r="CG9" s="6" t="str">
        <f>_xlfn.XLOOKUP(CF9,対応表!$B:$B,対応表!$C:$C," ")</f>
        <v>下</v>
      </c>
      <c r="CH9" s="7" t="s">
        <v>541</v>
      </c>
      <c r="CI9" s="6" t="str">
        <f>_xlfn.XLOOKUP(CH9,対応表!$B:$B,対応表!$C:$C," ")</f>
        <v>広</v>
      </c>
      <c r="CJ9" s="7" t="s">
        <v>542</v>
      </c>
      <c r="CK9" s="6" t="str">
        <f>_xlfn.XLOOKUP(CJ9,対応表!$B:$B,対応表!$C:$C," ")</f>
        <v xml:space="preserve"> </v>
      </c>
      <c r="CL9" s="7" t="s">
        <v>543</v>
      </c>
      <c r="CM9" s="6" t="str">
        <f>_xlfn.XLOOKUP(CL9,対応表!$B:$B,対応表!$C:$C," ")</f>
        <v xml:space="preserve"> </v>
      </c>
      <c r="CN9" s="7" t="s">
        <v>544</v>
      </c>
      <c r="CO9" s="6" t="str">
        <f>_xlfn.XLOOKUP(CN9,対応表!$B:$B,対応表!$C:$C," ")</f>
        <v xml:space="preserve"> </v>
      </c>
      <c r="CP9" s="7" t="s">
        <v>545</v>
      </c>
      <c r="CQ9" s="6" t="str">
        <f>_xlfn.XLOOKUP(CP9,対応表!$B:$B,対応表!$C:$C," ")</f>
        <v>息?</v>
      </c>
      <c r="CR9" s="7" t="s">
        <v>546</v>
      </c>
      <c r="CS9" s="6" t="str">
        <f>_xlfn.XLOOKUP(CR9,対応表!$B:$B,対応表!$C:$C," ")</f>
        <v xml:space="preserve"> </v>
      </c>
      <c r="CT9" s="7" t="s">
        <v>547</v>
      </c>
      <c r="CU9" s="6" t="str">
        <f>_xlfn.XLOOKUP(CT9,対応表!$B:$B,対応表!$C:$C," ")</f>
        <v>収?</v>
      </c>
      <c r="CV9" s="7" t="s">
        <v>548</v>
      </c>
      <c r="CW9" s="6" t="str">
        <f>_xlfn.XLOOKUP(CV9,対応表!$B:$B,対応表!$C:$C," ")</f>
        <v xml:space="preserve"> </v>
      </c>
      <c r="CX9" s="7" t="s">
        <v>549</v>
      </c>
      <c r="CY9" s="6" t="str">
        <f>_xlfn.XLOOKUP(CX9,対応表!$B:$B,対応表!$C:$C," ")</f>
        <v xml:space="preserve"> </v>
      </c>
      <c r="CZ9" s="7" t="s">
        <v>550</v>
      </c>
      <c r="DA9" s="6" t="str">
        <f>_xlfn.XLOOKUP(CZ9,対応表!$B:$B,対応表!$C:$C," ")</f>
        <v xml:space="preserve"> </v>
      </c>
      <c r="DB9" s="7" t="s">
        <v>551</v>
      </c>
      <c r="DC9" s="6" t="str">
        <f>_xlfn.XLOOKUP(DB9,対応表!$B:$B,対応表!$C:$C," ")</f>
        <v xml:space="preserve"> </v>
      </c>
      <c r="DD9" s="7" t="s">
        <v>552</v>
      </c>
      <c r="DE9" s="6" t="str">
        <f>_xlfn.XLOOKUP(DD9,対応表!$B:$B,対応表!$C:$C," ")</f>
        <v xml:space="preserve"> </v>
      </c>
      <c r="DF9" s="7" t="s">
        <v>553</v>
      </c>
      <c r="DG9" s="6" t="str">
        <f>_xlfn.XLOOKUP(DF9,対応表!$B:$B,対応表!$C:$C," ")</f>
        <v xml:space="preserve"> </v>
      </c>
      <c r="DH9" s="17" t="s">
        <v>554</v>
      </c>
      <c r="DI9" s="6" t="str">
        <f>_xlfn.XLOOKUP(DH9,対応表!$B:$B,対応表!$C:$C," ")</f>
        <v xml:space="preserve"> </v>
      </c>
      <c r="DJ9" s="7" t="s">
        <v>555</v>
      </c>
      <c r="DK9" s="6" t="str">
        <f>_xlfn.XLOOKUP(DJ9,対応表!$B:$B,対応表!$C:$C," ")</f>
        <v xml:space="preserve"> </v>
      </c>
      <c r="DL9" s="7" t="s">
        <v>556</v>
      </c>
      <c r="DM9" s="6" t="str">
        <f>_xlfn.XLOOKUP(DL9,対応表!$B:$B,対応表!$C:$C," ")</f>
        <v>印?</v>
      </c>
      <c r="DN9" s="7" t="s">
        <v>557</v>
      </c>
      <c r="DO9" s="6" t="str">
        <f>_xlfn.XLOOKUP(DN9,対応表!$B:$B,対応表!$C:$C," ")</f>
        <v xml:space="preserve"> </v>
      </c>
      <c r="DP9" s="7" t="s">
        <v>558</v>
      </c>
      <c r="DQ9" s="6" t="str">
        <f>_xlfn.XLOOKUP(DP9,対応表!$B:$B,対応表!$C:$C," ")</f>
        <v xml:space="preserve"> </v>
      </c>
      <c r="DR9" s="7" t="s">
        <v>559</v>
      </c>
      <c r="DS9" s="6" t="str">
        <f>_xlfn.XLOOKUP(DR9,対応表!$B:$B,対応表!$C:$C," ")</f>
        <v xml:space="preserve"> </v>
      </c>
      <c r="DT9" s="7" t="s">
        <v>560</v>
      </c>
      <c r="DU9" s="6" t="str">
        <f>_xlfn.XLOOKUP(DT9,対応表!$B:$B,対応表!$C:$C," ")</f>
        <v xml:space="preserve"> </v>
      </c>
      <c r="DV9" s="7" t="s">
        <v>561</v>
      </c>
      <c r="DW9" s="6" t="str">
        <f>_xlfn.XLOOKUP(DV9,対応表!$B:$B,対応表!$C:$C," ")</f>
        <v xml:space="preserve"> </v>
      </c>
      <c r="DX9" s="7" t="s">
        <v>562</v>
      </c>
      <c r="DY9" s="6" t="str">
        <f>_xlfn.XLOOKUP(DX9,対応表!$B:$B,対応表!$C:$C," ")</f>
        <v xml:space="preserve"> </v>
      </c>
      <c r="DZ9" s="7" t="s">
        <v>563</v>
      </c>
      <c r="EA9" s="6" t="str">
        <f>_xlfn.XLOOKUP(DZ9,対応表!$B:$B,対応表!$C:$C," ")</f>
        <v xml:space="preserve"> </v>
      </c>
      <c r="EB9" s="7" t="s">
        <v>564</v>
      </c>
      <c r="EC9" s="6" t="str">
        <f>_xlfn.XLOOKUP(EB9,対応表!$B:$B,対応表!$C:$C," ")</f>
        <v xml:space="preserve"> </v>
      </c>
      <c r="ED9" s="7" t="s">
        <v>565</v>
      </c>
      <c r="EE9" s="6" t="str">
        <f>_xlfn.XLOOKUP(ED9,対応表!$B:$B,対応表!$C:$C," ")</f>
        <v xml:space="preserve"> </v>
      </c>
      <c r="EF9" s="7" t="s">
        <v>566</v>
      </c>
      <c r="EG9" s="6" t="str">
        <f>_xlfn.XLOOKUP(EF9,対応表!$B:$B,対応表!$C:$C," ")</f>
        <v xml:space="preserve"> </v>
      </c>
      <c r="EH9" s="7" t="s">
        <v>567</v>
      </c>
      <c r="EI9" s="6" t="str">
        <f>_xlfn.XLOOKUP(EH9,対応表!$B:$B,対応表!$C:$C," ")</f>
        <v xml:space="preserve"> </v>
      </c>
      <c r="EJ9" s="7" t="s">
        <v>568</v>
      </c>
      <c r="EK9" s="6" t="str">
        <f>_xlfn.XLOOKUP(EJ9,対応表!$B:$B,対応表!$C:$C," ")</f>
        <v xml:space="preserve"> </v>
      </c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</row>
    <row r="10" spans="1:219" ht="30" customHeight="1" x14ac:dyDescent="0.4">
      <c r="A10" s="9" t="s">
        <v>569</v>
      </c>
      <c r="B10" s="7" t="s">
        <v>570</v>
      </c>
      <c r="C10" s="6" t="str">
        <f>_xlfn.XLOOKUP(B10,対応表!$B:$B,対応表!$C:$C," ")</f>
        <v>は</v>
      </c>
      <c r="D10" s="7" t="s">
        <v>571</v>
      </c>
      <c r="E10" s="22" t="str" cm="1">
        <f t="array" ref="E10">_xlfn.XLOOKUP(D10,対応表!$B:B,対応表!$C:C,"で")</f>
        <v>で</v>
      </c>
      <c r="F10" s="7" t="s">
        <v>572</v>
      </c>
      <c r="G10" s="6" t="str">
        <f>_xlfn.XLOOKUP(F10,対応表!$B:$B,対応表!$C:$C," ")</f>
        <v xml:space="preserve"> </v>
      </c>
      <c r="H10" s="7" t="s">
        <v>573</v>
      </c>
      <c r="I10" s="6" t="str">
        <f>_xlfn.XLOOKUP(H10,対応表!$B:$B,対応表!$C:$C," ")</f>
        <v xml:space="preserve"> </v>
      </c>
      <c r="J10" s="7" t="s">
        <v>574</v>
      </c>
      <c r="K10" s="6" t="str">
        <f>_xlfn.XLOOKUP(J10,対応表!$B:$B,対応表!$C:$C," ")</f>
        <v xml:space="preserve"> </v>
      </c>
      <c r="L10" s="7" t="s">
        <v>575</v>
      </c>
      <c r="M10" s="6" t="str">
        <f>_xlfn.XLOOKUP(L10,対応表!$B:$B,対応表!$C:$C," ")</f>
        <v>残</v>
      </c>
      <c r="N10" s="7" t="s">
        <v>576</v>
      </c>
      <c r="O10" s="6" t="str">
        <f>_xlfn.XLOOKUP(N10,対応表!$B:$B,対応表!$C:$C," ")</f>
        <v xml:space="preserve"> </v>
      </c>
      <c r="P10" s="7" t="s">
        <v>577</v>
      </c>
      <c r="Q10" s="6" t="str">
        <f>_xlfn.XLOOKUP(P10,対応表!$B:$B,対応表!$C:$C," ")</f>
        <v xml:space="preserve"> </v>
      </c>
      <c r="R10" s="7" t="s">
        <v>578</v>
      </c>
      <c r="S10" s="6" t="str">
        <f>_xlfn.XLOOKUP(R10,対応表!$B:$B,対応表!$C:$C," ")</f>
        <v xml:space="preserve"> </v>
      </c>
      <c r="T10" s="7" t="s">
        <v>579</v>
      </c>
      <c r="U10" s="6" t="str">
        <f>_xlfn.XLOOKUP(T10,対応表!$B:$B,対応表!$C:$C," ")</f>
        <v xml:space="preserve"> </v>
      </c>
      <c r="V10" s="7" t="s">
        <v>580</v>
      </c>
      <c r="W10" s="6" t="str">
        <f>_xlfn.XLOOKUP(V10,対応表!$B:$B,対応表!$C:$C," ")</f>
        <v xml:space="preserve"> </v>
      </c>
      <c r="X10" s="7" t="s">
        <v>581</v>
      </c>
      <c r="Y10" s="6" t="str">
        <f>_xlfn.XLOOKUP(X10,対応表!$B:$B,対応表!$C:$C," ")</f>
        <v>い</v>
      </c>
      <c r="Z10" s="7" t="s">
        <v>582</v>
      </c>
      <c r="AA10" s="6" t="str">
        <f>_xlfn.XLOOKUP(Z10,対応表!$B:$B,対応表!$C:$C," ")</f>
        <v xml:space="preserve"> </v>
      </c>
      <c r="AB10" s="7" t="s">
        <v>583</v>
      </c>
      <c r="AC10" s="6" t="str">
        <f>_xlfn.XLOOKUP(AB10,対応表!$B:$B,対応表!$C:$C," ")</f>
        <v xml:space="preserve"> </v>
      </c>
      <c r="AD10" s="7" t="s">
        <v>584</v>
      </c>
      <c r="AE10" s="6" t="str">
        <f>_xlfn.XLOOKUP(AD10,対応表!$B:$B,対応表!$C:$C," ")</f>
        <v xml:space="preserve"> </v>
      </c>
      <c r="AF10" s="7" t="s">
        <v>585</v>
      </c>
      <c r="AG10" s="6" t="str">
        <f>_xlfn.XLOOKUP(AF10,対応表!$B:$B,対応表!$C:$C," ")</f>
        <v>名</v>
      </c>
      <c r="AH10" s="7" t="s">
        <v>586</v>
      </c>
      <c r="AI10" s="6" t="str">
        <f>_xlfn.XLOOKUP(AH10,対応表!$B:$B,対応表!$C:$C," ")</f>
        <v xml:space="preserve"> </v>
      </c>
      <c r="AJ10" s="7" t="s">
        <v>587</v>
      </c>
      <c r="AK10" s="6" t="str">
        <f>_xlfn.XLOOKUP(AJ10,対応表!$B:$B,対応表!$C:$C," ")</f>
        <v xml:space="preserve"> </v>
      </c>
      <c r="AL10" s="7" t="s">
        <v>588</v>
      </c>
      <c r="AM10" s="6" t="str">
        <f>_xlfn.XLOOKUP(AL10,対応表!$B:$B,対応表!$C:$C,"か")</f>
        <v>か</v>
      </c>
      <c r="AN10" s="7" t="s">
        <v>589</v>
      </c>
      <c r="AO10" s="6" t="str">
        <f>_xlfn.XLOOKUP(AN10,対応表!$B:$B,対応表!$C:$C," ")</f>
        <v xml:space="preserve"> </v>
      </c>
      <c r="AP10" s="7" t="s">
        <v>590</v>
      </c>
      <c r="AQ10" s="6" t="str">
        <f>_xlfn.XLOOKUP(AP10,対応表!$B:$B,対応表!$C:$C," ")</f>
        <v xml:space="preserve"> </v>
      </c>
      <c r="AR10" s="7" t="s">
        <v>591</v>
      </c>
      <c r="AS10" s="6" t="str">
        <f>_xlfn.XLOOKUP(AR10,対応表!$B:$B,対応表!$C:$C," ")</f>
        <v>知</v>
      </c>
      <c r="AT10" s="7" t="s">
        <v>592</v>
      </c>
      <c r="AU10" s="6" t="str">
        <f>_xlfn.XLOOKUP(AT10,対応表!$B:$B,対応表!$C:$C," ")</f>
        <v xml:space="preserve"> </v>
      </c>
      <c r="AV10" s="7" t="s">
        <v>593</v>
      </c>
      <c r="AW10" s="6" t="str">
        <f>_xlfn.XLOOKUP(AV10,対応表!$B:$B,対応表!$C:$C," ")</f>
        <v xml:space="preserve"> </v>
      </c>
      <c r="AX10" s="7" t="s">
        <v>594</v>
      </c>
      <c r="AY10" s="6" t="str">
        <f>_xlfn.XLOOKUP(AX10,対応表!$B:$B,対応表!$C:$C," ")</f>
        <v xml:space="preserve"> </v>
      </c>
      <c r="AZ10" s="7" t="s">
        <v>595</v>
      </c>
      <c r="BA10" s="6" t="str">
        <f>_xlfn.XLOOKUP(AZ10,対応表!$B:$B,対応表!$C:$C," ")</f>
        <v>迷</v>
      </c>
      <c r="BB10" s="7" t="s">
        <v>596</v>
      </c>
      <c r="BC10" s="6" t="str">
        <f>_xlfn.XLOOKUP(BB10,対応表!$B:$B,対応表!$C:$C," ")</f>
        <v>店</v>
      </c>
      <c r="BD10" s="7" t="s">
        <v>597</v>
      </c>
      <c r="BE10" s="6" t="str">
        <f>_xlfn.XLOOKUP(BD10,対応表!$B:$B,対応表!$C:$C," ")</f>
        <v xml:space="preserve"> </v>
      </c>
      <c r="BF10" s="7" t="s">
        <v>598</v>
      </c>
      <c r="BG10" s="6" t="str">
        <f>_xlfn.XLOOKUP(BF10,対応表!$B:$B,対応表!$C:$C," ")</f>
        <v xml:space="preserve"> </v>
      </c>
      <c r="BH10" s="7" t="s">
        <v>599</v>
      </c>
      <c r="BI10" s="6" t="str">
        <f>_xlfn.XLOOKUP(BH10,対応表!$B:$B,対応表!$C:$C," ")</f>
        <v xml:space="preserve"> </v>
      </c>
      <c r="BJ10" s="7" t="s">
        <v>600</v>
      </c>
      <c r="BK10" s="6" t="str">
        <f>_xlfn.XLOOKUP(BJ10,対応表!$B:$B,対応表!$C:$C," ")</f>
        <v xml:space="preserve"> </v>
      </c>
      <c r="BL10" s="7" t="s">
        <v>601</v>
      </c>
      <c r="BM10" s="6" t="str">
        <f>_xlfn.XLOOKUP(BL10,対応表!$B:$B,対応表!$C:$C," ")</f>
        <v xml:space="preserve"> </v>
      </c>
      <c r="BN10" s="7" t="s">
        <v>602</v>
      </c>
      <c r="BO10" s="6" t="str">
        <f>_xlfn.XLOOKUP(BN10,対応表!$B:$B,対応表!$C:$C," ")</f>
        <v xml:space="preserve"> </v>
      </c>
      <c r="BP10" s="7" t="s">
        <v>603</v>
      </c>
      <c r="BQ10" s="6" t="str">
        <f>_xlfn.XLOOKUP(BP10,対応表!$B:$B,対応表!$C:$C," ")</f>
        <v xml:space="preserve"> </v>
      </c>
      <c r="BR10" s="7" t="s">
        <v>604</v>
      </c>
      <c r="BS10" s="6" t="str">
        <f>_xlfn.XLOOKUP(BR10,対応表!$B:$B,対応表!$C:$C," ")</f>
        <v>ー</v>
      </c>
      <c r="BT10" s="17" t="s">
        <v>605</v>
      </c>
      <c r="BU10" s="6" t="str">
        <f>_xlfn.XLOOKUP(BT10,対応表!$B:$B,対応表!$C:$C," ")</f>
        <v xml:space="preserve"> </v>
      </c>
      <c r="BV10" s="7" t="s">
        <v>606</v>
      </c>
      <c r="BW10" s="6" t="str">
        <f>_xlfn.XLOOKUP(BV10,対応表!$B:$B,対応表!$C:$C," ")</f>
        <v xml:space="preserve"> </v>
      </c>
      <c r="BX10" s="7" t="s">
        <v>607</v>
      </c>
      <c r="BY10" s="6" t="str">
        <f>_xlfn.XLOOKUP(BX10,対応表!$B:$B,対応表!$C:$C," ")</f>
        <v xml:space="preserve"> </v>
      </c>
      <c r="BZ10" s="7" t="s">
        <v>608</v>
      </c>
      <c r="CA10" s="6" t="str">
        <f>_xlfn.XLOOKUP(BZ10,対応表!$B:$B,対応表!$C:$C," ")</f>
        <v xml:space="preserve"> </v>
      </c>
      <c r="CB10" s="7" t="s">
        <v>609</v>
      </c>
      <c r="CC10" s="6" t="str">
        <f>_xlfn.XLOOKUP(CB10,対応表!$B:$B,対応表!$C:$C," ")</f>
        <v xml:space="preserve"> </v>
      </c>
      <c r="CD10" s="7" t="s">
        <v>610</v>
      </c>
      <c r="CE10" s="6" t="str">
        <f>_xlfn.XLOOKUP(CD10,対応表!$B:$B,対応表!$C:$C," ")</f>
        <v xml:space="preserve"> </v>
      </c>
      <c r="CF10" s="7" t="s">
        <v>611</v>
      </c>
      <c r="CG10" s="6" t="str">
        <f>_xlfn.XLOOKUP(CF10,対応表!$B:$B,対応表!$C:$C,"の")</f>
        <v>の</v>
      </c>
      <c r="CH10" s="7" t="s">
        <v>612</v>
      </c>
      <c r="CI10" s="6" t="str">
        <f>_xlfn.XLOOKUP(CH10,対応表!$B:$B,対応表!$C:$C," ")</f>
        <v xml:space="preserve"> </v>
      </c>
      <c r="CJ10" s="7" t="s">
        <v>613</v>
      </c>
      <c r="CK10" s="6" t="str">
        <f>_xlfn.XLOOKUP(CJ10,対応表!$B:$B,対応表!$C:$C," ")</f>
        <v xml:space="preserve"> </v>
      </c>
      <c r="CL10" s="7" t="s">
        <v>614</v>
      </c>
      <c r="CM10" s="6" t="str">
        <f>_xlfn.XLOOKUP(CL10,対応表!$B:$B,対応表!$C:$C," ")</f>
        <v xml:space="preserve"> </v>
      </c>
      <c r="CN10" s="7" t="s">
        <v>615</v>
      </c>
      <c r="CO10" s="6" t="str">
        <f>_xlfn.XLOOKUP(CN10,対応表!$B:$B,対応表!$C:$C," ")</f>
        <v xml:space="preserve"> </v>
      </c>
      <c r="CP10" s="7" t="s">
        <v>616</v>
      </c>
      <c r="CQ10" s="6" t="str">
        <f>_xlfn.XLOOKUP(CP10,対応表!$B:$B,対応表!$C:$C," ")</f>
        <v>づ/付?</v>
      </c>
      <c r="CR10" s="7" t="s">
        <v>617</v>
      </c>
      <c r="CS10" s="6" t="str">
        <f>_xlfn.XLOOKUP(CR10,対応表!$B:$B,対応表!$C:$C," ")</f>
        <v xml:space="preserve"> </v>
      </c>
      <c r="CT10" s="7" t="s">
        <v>618</v>
      </c>
      <c r="CU10" s="6" t="str">
        <f>_xlfn.XLOOKUP(CT10,対応表!$B:$B,対応表!$C:$C," ")</f>
        <v>監?</v>
      </c>
      <c r="CV10" s="7" t="s">
        <v>619</v>
      </c>
      <c r="CW10" s="6" t="str">
        <f>_xlfn.XLOOKUP(CV10,対応表!$B:$B,対応表!$C:$C," ")</f>
        <v xml:space="preserve"> </v>
      </c>
      <c r="CX10" s="7" t="s">
        <v>620</v>
      </c>
      <c r="CY10" s="6" t="str">
        <f>_xlfn.XLOOKUP(CX10,対応表!$B:$B,対応表!$C:$C," ")</f>
        <v xml:space="preserve"> </v>
      </c>
      <c r="CZ10" s="7" t="s">
        <v>621</v>
      </c>
      <c r="DA10" s="6" t="str">
        <f>_xlfn.XLOOKUP(CZ10,対応表!$B:$B,対応表!$C:$C," ")</f>
        <v xml:space="preserve"> </v>
      </c>
      <c r="DB10" s="7" t="s">
        <v>622</v>
      </c>
      <c r="DC10" s="6" t="str">
        <f>_xlfn.XLOOKUP(DB10,対応表!$B:$B,対応表!$C:$C," ")</f>
        <v xml:space="preserve"> </v>
      </c>
      <c r="DD10" s="7" t="s">
        <v>623</v>
      </c>
      <c r="DE10" s="6" t="str">
        <f>_xlfn.XLOOKUP(DD10,対応表!$B:$B,対応表!$C:$C," ")</f>
        <v>ぶ</v>
      </c>
      <c r="DF10" s="7" t="s">
        <v>624</v>
      </c>
      <c r="DG10" s="6" t="str">
        <f>_xlfn.XLOOKUP(DF10,対応表!$B:$B,対応表!$C:$C," ")</f>
        <v>花</v>
      </c>
      <c r="DH10" s="1" t="s">
        <v>625</v>
      </c>
      <c r="DI10" s="6" t="str">
        <f>_xlfn.XLOOKUP(DH10,対応表!$B:$B,対応表!$C:$C," ")</f>
        <v xml:space="preserve"> </v>
      </c>
      <c r="DJ10" s="7" t="s">
        <v>626</v>
      </c>
      <c r="DK10" s="6" t="str">
        <f>_xlfn.XLOOKUP(DJ10,対応表!$B:$B,対応表!$C:$C," ")</f>
        <v xml:space="preserve"> </v>
      </c>
      <c r="DL10" s="7" t="s">
        <v>627</v>
      </c>
      <c r="DM10" s="6" t="str">
        <f>_xlfn.XLOOKUP(DL10,対応表!$B:$B,対応表!$C:$C," ")</f>
        <v xml:space="preserve"> </v>
      </c>
      <c r="DN10" s="7" t="s">
        <v>628</v>
      </c>
      <c r="DO10" s="6" t="str">
        <f>_xlfn.XLOOKUP(DN10,対応表!$B:$B,対応表!$C:$C," ")</f>
        <v>ね</v>
      </c>
      <c r="DP10" s="7" t="s">
        <v>629</v>
      </c>
      <c r="DQ10" s="6" t="str">
        <f>_xlfn.XLOOKUP(DP10,対応表!$B:$B,対応表!$C:$C," ")</f>
        <v xml:space="preserve"> </v>
      </c>
      <c r="DR10" s="7" t="s">
        <v>630</v>
      </c>
      <c r="DS10" s="6" t="str">
        <f>_xlfn.XLOOKUP(DR10,対応表!$B:$B,対応表!$C:$C," ")</f>
        <v xml:space="preserve"> </v>
      </c>
      <c r="DT10" s="7" t="s">
        <v>631</v>
      </c>
      <c r="DU10" s="6" t="str">
        <f>_xlfn.XLOOKUP(DT10,対応表!$B:$B,対応表!$C:$C," ")</f>
        <v xml:space="preserve"> </v>
      </c>
      <c r="DV10" s="7" t="s">
        <v>632</v>
      </c>
      <c r="DW10" s="6" t="str">
        <f>_xlfn.XLOOKUP(DV10,対応表!$B:$B,対応表!$C:$C," ")</f>
        <v xml:space="preserve"> </v>
      </c>
      <c r="DX10" s="7" t="s">
        <v>633</v>
      </c>
      <c r="DY10" s="6" t="str">
        <f>_xlfn.XLOOKUP(DX10,対応表!$B:$B,対応表!$C:$C," ")</f>
        <v xml:space="preserve"> </v>
      </c>
      <c r="DZ10" s="7" t="s">
        <v>634</v>
      </c>
      <c r="EA10" s="6" t="str">
        <f>_xlfn.XLOOKUP(DZ10,対応表!$B:$B,対応表!$C:$C," ")</f>
        <v>愛?</v>
      </c>
      <c r="EB10" s="7" t="s">
        <v>635</v>
      </c>
      <c r="EC10" s="6" t="str">
        <f>_xlfn.XLOOKUP(EB10,対応表!$B:$B,対応表!$C:$C," ")</f>
        <v xml:space="preserve"> </v>
      </c>
      <c r="ED10" s="7" t="s">
        <v>636</v>
      </c>
      <c r="EE10" s="6" t="str">
        <f>_xlfn.XLOOKUP(ED10,対応表!$B:$B,対応表!$C:$C," ")</f>
        <v xml:space="preserve"> </v>
      </c>
      <c r="EF10" s="7" t="s">
        <v>637</v>
      </c>
      <c r="EG10" s="6" t="str">
        <f>_xlfn.XLOOKUP(EF10,対応表!$B:$B,対応表!$C:$C," ")</f>
        <v xml:space="preserve"> </v>
      </c>
      <c r="EH10" s="7" t="s">
        <v>638</v>
      </c>
      <c r="EI10" s="6" t="str">
        <f>_xlfn.XLOOKUP(EH10,対応表!$B:$B,対応表!$C:$C," ")</f>
        <v xml:space="preserve"> </v>
      </c>
      <c r="EJ10" s="7" t="s">
        <v>639</v>
      </c>
      <c r="EK10" s="6" t="str">
        <f>_xlfn.XLOOKUP(EJ10,対応表!$B:$B,対応表!$C:$C," ")</f>
        <v xml:space="preserve"> </v>
      </c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</row>
    <row r="11" spans="1:219" ht="30" customHeight="1" x14ac:dyDescent="0.4">
      <c r="A11" s="9" t="s">
        <v>640</v>
      </c>
      <c r="B11" s="7" t="s">
        <v>641</v>
      </c>
      <c r="C11" s="6" t="str">
        <f>_xlfn.XLOOKUP(B11,対応表!$B:$B,対応表!$C:$C,"こ")</f>
        <v>こ</v>
      </c>
      <c r="D11" s="7" t="s">
        <v>642</v>
      </c>
      <c r="E11" s="6" t="str" cm="1">
        <f t="array" ref="E11">_xlfn.XLOOKUP(D11,対応表!$B:B,対応表!$C:C," ")</f>
        <v>あ</v>
      </c>
      <c r="F11" s="7" t="s">
        <v>643</v>
      </c>
      <c r="G11" s="6" t="str">
        <f>_xlfn.XLOOKUP(F11,対応表!$B:$B,対応表!$C:$C," ")</f>
        <v xml:space="preserve"> </v>
      </c>
      <c r="H11" s="7" t="s">
        <v>644</v>
      </c>
      <c r="I11" s="6" t="str">
        <f>_xlfn.XLOOKUP(H11,対応表!$B:$B,対応表!$C:$C," ")</f>
        <v>常</v>
      </c>
      <c r="J11" s="7" t="s">
        <v>645</v>
      </c>
      <c r="K11" s="6" t="str">
        <f>_xlfn.XLOOKUP(J11,対応表!$B:$B,対応表!$C:$C," ")</f>
        <v xml:space="preserve"> </v>
      </c>
      <c r="L11" s="7" t="s">
        <v>646</v>
      </c>
      <c r="M11" s="22" t="str">
        <f>_xlfn.XLOOKUP(L11,対応表!$B:$B,対応表!$C:$C,"さ")</f>
        <v>さ</v>
      </c>
      <c r="N11" s="7" t="s">
        <v>647</v>
      </c>
      <c r="O11" s="6" t="str">
        <f>_xlfn.XLOOKUP(N11,対応表!$B:$B,対応表!$C:$C," ")</f>
        <v xml:space="preserve"> </v>
      </c>
      <c r="P11" s="7" t="s">
        <v>648</v>
      </c>
      <c r="Q11" s="6" t="str">
        <f>_xlfn.XLOOKUP(P11,対応表!$B:$B,対応表!$C:$C," ")</f>
        <v>四?</v>
      </c>
      <c r="R11" s="7" t="s">
        <v>649</v>
      </c>
      <c r="S11" s="6" t="str">
        <f>_xlfn.XLOOKUP(R11,対応表!$B:$B,対応表!$C:$C," ")</f>
        <v xml:space="preserve"> </v>
      </c>
      <c r="T11" s="7" t="s">
        <v>650</v>
      </c>
      <c r="U11" s="6" t="str">
        <f>_xlfn.XLOOKUP(T11,対応表!$B:$B,対応表!$C:$C," ")</f>
        <v>ぜ</v>
      </c>
      <c r="V11" s="7" t="s">
        <v>651</v>
      </c>
      <c r="W11" s="6" t="str">
        <f>_xlfn.XLOOKUP(V11,対応表!$B:$B,対応表!$C:$C," ")</f>
        <v xml:space="preserve"> </v>
      </c>
      <c r="X11" s="7" t="s">
        <v>652</v>
      </c>
      <c r="Y11" s="6" t="str">
        <f>_xlfn.XLOOKUP(X11,対応表!$B:$B,対応表!$C:$C," ")</f>
        <v xml:space="preserve"> </v>
      </c>
      <c r="Z11" s="7" t="s">
        <v>653</v>
      </c>
      <c r="AA11" s="6" t="str">
        <f>_xlfn.XLOOKUP(Z11,対応表!$B:$B,対応表!$C:$C," ")</f>
        <v xml:space="preserve"> </v>
      </c>
      <c r="AB11" s="7" t="s">
        <v>654</v>
      </c>
      <c r="AC11" s="6" t="str">
        <f>_xlfn.XLOOKUP(AB11,対応表!$B:$B,対応表!$C:$C," ")</f>
        <v xml:space="preserve"> </v>
      </c>
      <c r="AD11" s="7" t="s">
        <v>655</v>
      </c>
      <c r="AE11" s="6" t="str">
        <f>_xlfn.XLOOKUP(AD11,対応表!$B:$B,対応表!$C:$C," ")</f>
        <v>早</v>
      </c>
      <c r="AF11" s="7" t="s">
        <v>656</v>
      </c>
      <c r="AG11" s="6" t="str">
        <f>_xlfn.XLOOKUP(AF11,対応表!$B:$B,対応表!$C:$C," ")</f>
        <v xml:space="preserve"> </v>
      </c>
      <c r="AH11" s="7" t="s">
        <v>657</v>
      </c>
      <c r="AI11" s="6" t="str">
        <f>_xlfn.XLOOKUP(AH11,対応表!$B:$B,対応表!$C:$C," ")</f>
        <v xml:space="preserve"> </v>
      </c>
      <c r="AJ11" s="7" t="s">
        <v>658</v>
      </c>
      <c r="AK11" s="6" t="str">
        <f>_xlfn.XLOOKUP(AJ11,対応表!$B:$B,対応表!$C:$C," ")</f>
        <v xml:space="preserve"> </v>
      </c>
      <c r="AL11" s="7" t="s">
        <v>659</v>
      </c>
      <c r="AM11" s="6" t="str">
        <f>_xlfn.XLOOKUP(AL11,対応表!$B:$B,対応表!$C:$C,"っ")</f>
        <v>っ</v>
      </c>
      <c r="AN11" s="7" t="s">
        <v>660</v>
      </c>
      <c r="AO11" s="6" t="str">
        <f>_xlfn.XLOOKUP(AN11,対応表!$B:$B,対応表!$C:$C," ")</f>
        <v xml:space="preserve"> </v>
      </c>
      <c r="AP11" s="7" t="s">
        <v>661</v>
      </c>
      <c r="AQ11" s="6" t="str">
        <f>_xlfn.XLOOKUP(AP11,対応表!$B:$B,対応表!$C:$C," ")</f>
        <v xml:space="preserve"> </v>
      </c>
      <c r="AR11" s="7" t="s">
        <v>662</v>
      </c>
      <c r="AS11" s="6" t="str">
        <f>_xlfn.XLOOKUP(AR11,対応表!$B:$B,対応表!$C:$C," ")</f>
        <v xml:space="preserve"> </v>
      </c>
      <c r="AT11" s="7" t="s">
        <v>663</v>
      </c>
      <c r="AU11" s="6" t="str">
        <f>_xlfn.XLOOKUP(AT11,対応表!$B:$B,対応表!$C:$C," ")</f>
        <v xml:space="preserve"> </v>
      </c>
      <c r="AV11" s="7" t="s">
        <v>664</v>
      </c>
      <c r="AW11" s="6" t="str">
        <f>_xlfn.XLOOKUP(AV11,対応表!$B:$B,対応表!$C:$C," ")</f>
        <v xml:space="preserve"> </v>
      </c>
      <c r="AX11" s="7" t="s">
        <v>665</v>
      </c>
      <c r="AY11" s="6" t="str">
        <f>_xlfn.XLOOKUP(AX11,対応表!$B:$B,対応表!$C:$C," ")</f>
        <v xml:space="preserve"> </v>
      </c>
      <c r="AZ11" s="17" t="s">
        <v>666</v>
      </c>
      <c r="BA11" s="6" t="str">
        <f>_xlfn.XLOOKUP(AZ11,対応表!$B:$B,対応表!$C:$C," ")</f>
        <v xml:space="preserve"> </v>
      </c>
      <c r="BB11" s="7" t="s">
        <v>667</v>
      </c>
      <c r="BC11" s="6" t="str">
        <f>_xlfn.XLOOKUP(BB11,対応表!$B:$B,対応表!$C:$C,"を")</f>
        <v>を</v>
      </c>
      <c r="BD11" s="7" t="s">
        <v>668</v>
      </c>
      <c r="BE11" s="6" t="str">
        <f>_xlfn.XLOOKUP(BD11,対応表!$B:$B,対応表!$C:$C," ")</f>
        <v xml:space="preserve"> </v>
      </c>
      <c r="BF11" s="7" t="s">
        <v>669</v>
      </c>
      <c r="BG11" s="6" t="str">
        <f>_xlfn.XLOOKUP(BF11,対応表!$B:$B,対応表!$C:$C," ")</f>
        <v xml:space="preserve"> </v>
      </c>
      <c r="BH11" s="7" t="s">
        <v>670</v>
      </c>
      <c r="BI11" s="6" t="str">
        <f>_xlfn.XLOOKUP(BH11,対応表!$B:$B,対応表!$C:$C," ")</f>
        <v xml:space="preserve"> </v>
      </c>
      <c r="BJ11" s="7" t="s">
        <v>671</v>
      </c>
      <c r="BK11" s="6" t="str">
        <f>_xlfn.XLOOKUP(BJ11,対応表!$B:$B,対応表!$C:$C," ")</f>
        <v xml:space="preserve"> </v>
      </c>
      <c r="BL11" s="7" t="s">
        <v>672</v>
      </c>
      <c r="BM11" s="6" t="str">
        <f>_xlfn.XLOOKUP(BL11,対応表!$B:$B,対応表!$C:$C," ")</f>
        <v xml:space="preserve"> </v>
      </c>
      <c r="BN11" s="7" t="s">
        <v>673</v>
      </c>
      <c r="BO11" s="6" t="str">
        <f>_xlfn.XLOOKUP(BN11,対応表!$B:$B,対応表!$C:$C," ")</f>
        <v xml:space="preserve"> </v>
      </c>
      <c r="BP11" s="7" t="s">
        <v>674</v>
      </c>
      <c r="BQ11" s="6" t="str">
        <f>_xlfn.XLOOKUP(BP11,対応表!$B:$B,対応表!$C:$C," ")</f>
        <v xml:space="preserve"> </v>
      </c>
      <c r="BR11" s="7" t="s">
        <v>675</v>
      </c>
      <c r="BS11" s="6" t="str">
        <f>_xlfn.XLOOKUP(BR11,対応表!$B:$B,対応表!$C:$C," ")</f>
        <v>ぷ</v>
      </c>
      <c r="BT11" s="7" t="s">
        <v>676</v>
      </c>
      <c r="BU11" s="6" t="str">
        <f>_xlfn.XLOOKUP(BT11,対応表!$B:$B,対応表!$C:$C," ")</f>
        <v xml:space="preserve"> </v>
      </c>
      <c r="BV11" s="7" t="s">
        <v>677</v>
      </c>
      <c r="BW11" s="6" t="str">
        <f>_xlfn.XLOOKUP(BV11,対応表!$B:$B,対応表!$C:$C," ")</f>
        <v xml:space="preserve"> </v>
      </c>
      <c r="BX11" s="7" t="s">
        <v>678</v>
      </c>
      <c r="BY11" s="6" t="str">
        <f>_xlfn.XLOOKUP(BX11,対応表!$B:$B,対応表!$C:$C," ")</f>
        <v xml:space="preserve"> </v>
      </c>
      <c r="BZ11" s="7" t="s">
        <v>679</v>
      </c>
      <c r="CA11" s="6" t="str">
        <f>_xlfn.XLOOKUP(BZ11,対応表!$B:$B,対応表!$C:$C," ")</f>
        <v xml:space="preserve"> </v>
      </c>
      <c r="CB11" s="7" t="s">
        <v>680</v>
      </c>
      <c r="CC11" s="6" t="str">
        <f>_xlfn.XLOOKUP(CB11,対応表!$B:$B,対応表!$C:$C," ")</f>
        <v xml:space="preserve"> </v>
      </c>
      <c r="CD11" s="7" t="s">
        <v>681</v>
      </c>
      <c r="CE11" s="6" t="str">
        <f>_xlfn.XLOOKUP(CD11,対応表!$B:$B,対応表!$C:$C," ")</f>
        <v xml:space="preserve"> </v>
      </c>
      <c r="CF11" s="7" t="s">
        <v>682</v>
      </c>
      <c r="CG11" s="6" t="str">
        <f>_xlfn.XLOOKUP(CF11,対応表!$B:$B,対応表!$C:$C," ")</f>
        <v>区</v>
      </c>
      <c r="CH11" s="7" t="s">
        <v>683</v>
      </c>
      <c r="CI11" s="6" t="str">
        <f>_xlfn.XLOOKUP(CH11,対応表!$B:$B,対応表!$C:$C," ")</f>
        <v xml:space="preserve"> </v>
      </c>
      <c r="CJ11" s="7" t="s">
        <v>684</v>
      </c>
      <c r="CK11" s="6" t="str">
        <f>_xlfn.XLOOKUP(CJ11,対応表!$B:$B,対応表!$C:$C," ")</f>
        <v xml:space="preserve"> </v>
      </c>
      <c r="CL11" s="7" t="s">
        <v>685</v>
      </c>
      <c r="CM11" s="6" t="str">
        <f>_xlfn.XLOOKUP(CL11,対応表!$B:$B,対応表!$C:$C," ")</f>
        <v xml:space="preserve"> </v>
      </c>
      <c r="CN11" s="7" t="s">
        <v>686</v>
      </c>
      <c r="CO11" s="6" t="str">
        <f>_xlfn.XLOOKUP(CN11,対応表!$B:$B,対応表!$C:$C," ")</f>
        <v xml:space="preserve"> </v>
      </c>
      <c r="CP11" s="7" t="s">
        <v>687</v>
      </c>
      <c r="CQ11" s="6" t="str">
        <f>_xlfn.XLOOKUP(CP11,対応表!$B:$B,対応表!$C:$C,"く")</f>
        <v>く</v>
      </c>
      <c r="CR11" s="7" t="s">
        <v>688</v>
      </c>
      <c r="CS11" s="6" t="str">
        <f>_xlfn.XLOOKUP(CR11,対応表!$B:$B,対応表!$C:$C," ")</f>
        <v xml:space="preserve"> </v>
      </c>
      <c r="CT11" s="7" t="s">
        <v>689</v>
      </c>
      <c r="CU11" s="6" t="str">
        <f>_xlfn.XLOOKUP(CT11,対応表!$B:$B,対応表!$C:$C," ")</f>
        <v xml:space="preserve"> </v>
      </c>
      <c r="CV11" s="7" t="s">
        <v>690</v>
      </c>
      <c r="CW11" s="6" t="str">
        <f>_xlfn.XLOOKUP(CV11,対応表!$B:$B,対応表!$C:$C," ")</f>
        <v xml:space="preserve"> </v>
      </c>
      <c r="CX11" s="7" t="s">
        <v>691</v>
      </c>
      <c r="CY11" s="6" t="str">
        <f>_xlfn.XLOOKUP(CX11,対応表!$B:$B,対応表!$C:$C," ")</f>
        <v xml:space="preserve"> </v>
      </c>
      <c r="CZ11" s="7" t="s">
        <v>692</v>
      </c>
      <c r="DA11" s="6" t="str">
        <f>_xlfn.XLOOKUP(CZ11,対応表!$B:$B,対応表!$C:$C," ")</f>
        <v>録</v>
      </c>
      <c r="DB11" s="7" t="s">
        <v>693</v>
      </c>
      <c r="DC11" s="6" t="str">
        <f>_xlfn.XLOOKUP(DB11,対応表!$B:$B,対応表!$C:$C," ")</f>
        <v>時</v>
      </c>
      <c r="DD11" s="7" t="s">
        <v>694</v>
      </c>
      <c r="DE11" s="6" t="str">
        <f>_xlfn.XLOOKUP(DD11,対応表!$B:$B,対応表!$C:$C," ")</f>
        <v>べ</v>
      </c>
      <c r="DF11" s="7" t="s">
        <v>695</v>
      </c>
      <c r="DG11" s="6" t="str">
        <f>_xlfn.XLOOKUP(DF11,対応表!$B:$B,対応表!$C:$C," ")</f>
        <v xml:space="preserve"> </v>
      </c>
      <c r="DH11" s="7" t="s">
        <v>696</v>
      </c>
      <c r="DI11" s="6" t="str">
        <f>_xlfn.XLOOKUP(DH11,対応表!$B:$B,対応表!$C:$C," ")</f>
        <v xml:space="preserve"> </v>
      </c>
      <c r="DJ11" s="7" t="s">
        <v>697</v>
      </c>
      <c r="DK11" s="6" t="str">
        <f>_xlfn.XLOOKUP(DJ11,対応表!$B:$B,対応表!$C:$C," ")</f>
        <v xml:space="preserve"> </v>
      </c>
      <c r="DL11" s="7" t="s">
        <v>698</v>
      </c>
      <c r="DM11" s="6" t="str">
        <f>_xlfn.XLOOKUP(DL11,対応表!$B:$B,対応表!$C:$C," ")</f>
        <v>集</v>
      </c>
      <c r="DN11" s="7" t="s">
        <v>699</v>
      </c>
      <c r="DO11" s="6" t="str">
        <f>_xlfn.XLOOKUP(DN11,対応表!$B:$B,対応表!$C:$C," ")</f>
        <v xml:space="preserve"> </v>
      </c>
      <c r="DP11" s="7" t="s">
        <v>700</v>
      </c>
      <c r="DQ11" s="6" t="str">
        <f>_xlfn.XLOOKUP(DP11,対応表!$B:$B,対応表!$C:$C," ")</f>
        <v xml:space="preserve"> </v>
      </c>
      <c r="DR11" s="7" t="s">
        <v>701</v>
      </c>
      <c r="DS11" s="6" t="str">
        <f>_xlfn.XLOOKUP(DR11,対応表!$B:$B,対応表!$C:$C," ")</f>
        <v xml:space="preserve"> </v>
      </c>
      <c r="DT11" s="7" t="s">
        <v>702</v>
      </c>
      <c r="DU11" s="6" t="str">
        <f>_xlfn.XLOOKUP(DT11,対応表!$B:$B,対応表!$C:$C," ")</f>
        <v xml:space="preserve"> </v>
      </c>
      <c r="DV11" s="7" t="s">
        <v>703</v>
      </c>
      <c r="DW11" s="6" t="str">
        <f>_xlfn.XLOOKUP(DV11,対応表!$B:$B,対応表!$C:$C," ")</f>
        <v xml:space="preserve"> </v>
      </c>
      <c r="DX11" s="7" t="s">
        <v>704</v>
      </c>
      <c r="DY11" s="6" t="str">
        <f>_xlfn.XLOOKUP(DX11,対応表!$B:$B,対応表!$C:$C," ")</f>
        <v xml:space="preserve"> </v>
      </c>
      <c r="DZ11" s="7" t="s">
        <v>705</v>
      </c>
      <c r="EA11" s="6" t="str">
        <f>_xlfn.XLOOKUP(DZ11,対応表!$B:$B,対応表!$C:$C," ")</f>
        <v xml:space="preserve"> </v>
      </c>
      <c r="EB11" s="7" t="s">
        <v>706</v>
      </c>
      <c r="EC11" s="6" t="str">
        <f>_xlfn.XLOOKUP(EB11,対応表!$B:$B,対応表!$C:$C," ")</f>
        <v xml:space="preserve"> </v>
      </c>
      <c r="ED11" s="17" t="s">
        <v>707</v>
      </c>
      <c r="EE11" s="6" t="str">
        <f>_xlfn.XLOOKUP(ED11,対応表!$B:$B,対応表!$C:$C," ")</f>
        <v>特?</v>
      </c>
      <c r="EF11" s="7" t="s">
        <v>708</v>
      </c>
      <c r="EG11" s="6" t="str">
        <f>_xlfn.XLOOKUP(EF11,対応表!$B:$B,対応表!$C:$C," ")</f>
        <v xml:space="preserve"> </v>
      </c>
      <c r="EH11" s="7" t="s">
        <v>709</v>
      </c>
      <c r="EI11" s="6" t="str">
        <f>_xlfn.XLOOKUP(EH11,対応表!$B:$B,対応表!$C:$C," ")</f>
        <v xml:space="preserve"> </v>
      </c>
      <c r="EJ11" s="7" t="s">
        <v>710</v>
      </c>
      <c r="EK11" s="6" t="str">
        <f>_xlfn.XLOOKUP(EJ11,対応表!$B:$B,対応表!$C:$C," ")</f>
        <v xml:space="preserve"> </v>
      </c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</row>
    <row r="12" spans="1:219" ht="30" customHeight="1" x14ac:dyDescent="0.4">
      <c r="A12" s="9" t="s">
        <v>711</v>
      </c>
      <c r="B12" s="7" t="s">
        <v>712</v>
      </c>
      <c r="C12" s="6" t="str">
        <f>_xlfn.XLOOKUP(B12,対応表!$B:$B,対応表!$C:$C," ")</f>
        <v>の</v>
      </c>
      <c r="D12" s="7" t="s">
        <v>713</v>
      </c>
      <c r="E12" s="6" t="str" cm="1">
        <f t="array" ref="E12">_xlfn.XLOOKUP(D12,対応表!$B:B,対応表!$C:C," ")</f>
        <v>り</v>
      </c>
      <c r="F12" s="7" t="s">
        <v>714</v>
      </c>
      <c r="G12" s="6" t="str">
        <f>_xlfn.XLOOKUP(F12,対応表!$B:$B,対応表!$C:$C," ")</f>
        <v xml:space="preserve"> </v>
      </c>
      <c r="H12" s="7" t="s">
        <v>715</v>
      </c>
      <c r="I12" s="6" t="str">
        <f>_xlfn.XLOOKUP(H12,対応表!$B:$B,対応表!$C:$C,"に")</f>
        <v>に</v>
      </c>
      <c r="J12" s="7" t="s">
        <v>716</v>
      </c>
      <c r="K12" s="6" t="str">
        <f>_xlfn.XLOOKUP(J12,対応表!$B:$B,対応表!$C:$C," ")</f>
        <v xml:space="preserve"> </v>
      </c>
      <c r="L12" s="7" t="s">
        <v>718</v>
      </c>
      <c r="M12" s="22" t="str">
        <f>_xlfn.XLOOKUP(L12,対応表!$B:$B,対応表!$C:$C,"れ")</f>
        <v>れ</v>
      </c>
      <c r="N12" s="7" t="s">
        <v>719</v>
      </c>
      <c r="O12" s="6" t="str">
        <f>_xlfn.XLOOKUP(N12,対応表!$B:$B,対応表!$C:$C," ")</f>
        <v xml:space="preserve"> </v>
      </c>
      <c r="P12" s="7" t="s">
        <v>720</v>
      </c>
      <c r="Q12" s="6" t="str">
        <f>_xlfn.XLOOKUP(P12,対応表!$B:$B,対応表!$C:$C," ")</f>
        <v xml:space="preserve"> </v>
      </c>
      <c r="R12" s="7" t="s">
        <v>721</v>
      </c>
      <c r="S12" s="6" t="str">
        <f>_xlfn.XLOOKUP(R12,対応表!$B:$B,対応表!$C:$C," ")</f>
        <v>ふ</v>
      </c>
      <c r="T12" s="7" t="s">
        <v>723</v>
      </c>
      <c r="U12" s="6" t="str">
        <f>_xlfn.XLOOKUP(T12,対応表!$B:$B,対応表!$C:$C," ")</f>
        <v xml:space="preserve"> </v>
      </c>
      <c r="V12" s="7" t="s">
        <v>724</v>
      </c>
      <c r="W12" s="6" t="str">
        <f>_xlfn.XLOOKUP(V12,対応表!$B:$B,対応表!$C:$C," ")</f>
        <v>異?</v>
      </c>
      <c r="X12" s="7" t="s">
        <v>725</v>
      </c>
      <c r="Y12" s="6" t="str">
        <f>_xlfn.XLOOKUP(X12,対応表!$B:$B,対応表!$C:$C," ")</f>
        <v xml:space="preserve"> </v>
      </c>
      <c r="Z12" s="7" t="s">
        <v>726</v>
      </c>
      <c r="AA12" s="6" t="str">
        <f>_xlfn.XLOOKUP(Z12,対応表!$B:$B,対応表!$C:$C," ")</f>
        <v xml:space="preserve"> </v>
      </c>
      <c r="AB12" s="7" t="s">
        <v>727</v>
      </c>
      <c r="AC12" s="6" t="str">
        <f>_xlfn.XLOOKUP(AB12,対応表!$B:$B,対応表!$C:$C," ")</f>
        <v xml:space="preserve"> </v>
      </c>
      <c r="AD12" s="7" t="s">
        <v>728</v>
      </c>
      <c r="AE12" s="6" t="str">
        <f>_xlfn.XLOOKUP(AD12,対応表!$B:$B,対応表!$C:$C," ")</f>
        <v xml:space="preserve"> </v>
      </c>
      <c r="AF12" s="7" t="s">
        <v>729</v>
      </c>
      <c r="AG12" s="6" t="str">
        <f>_xlfn.XLOOKUP(AF12,対応表!$B:$B,対応表!$C:$C," ")</f>
        <v xml:space="preserve"> </v>
      </c>
      <c r="AH12" s="7" t="s">
        <v>730</v>
      </c>
      <c r="AI12" s="6" t="str">
        <f>_xlfn.XLOOKUP(AH12,対応表!$B:$B,対応表!$C:$C," ")</f>
        <v xml:space="preserve"> </v>
      </c>
      <c r="AJ12" s="7" t="s">
        <v>731</v>
      </c>
      <c r="AK12" s="6" t="str">
        <f>_xlfn.XLOOKUP(AJ12,対応表!$B:$B,対応表!$C:$C," ")</f>
        <v xml:space="preserve"> </v>
      </c>
      <c r="AL12" s="7" t="s">
        <v>732</v>
      </c>
      <c r="AM12" s="6" t="str">
        <f>_xlfn.XLOOKUP(AL12,対応表!$B:$B,対応表!$C:$C,"て")</f>
        <v>て</v>
      </c>
      <c r="AN12" s="7" t="s">
        <v>733</v>
      </c>
      <c r="AO12" s="6" t="str">
        <f>_xlfn.XLOOKUP(AN12,対応表!$B:$B,対応表!$C:$C," ")</f>
        <v xml:space="preserve"> </v>
      </c>
      <c r="AP12" s="7" t="s">
        <v>734</v>
      </c>
      <c r="AQ12" s="6" t="str">
        <f>_xlfn.XLOOKUP(AP12,対応表!$B:$B,対応表!$C:$C," ")</f>
        <v xml:space="preserve"> </v>
      </c>
      <c r="AR12" s="7" t="s">
        <v>735</v>
      </c>
      <c r="AS12" s="6" t="str">
        <f>_xlfn.XLOOKUP(AR12,対応表!$B:$B,対応表!$C:$C," ")</f>
        <v xml:space="preserve"> </v>
      </c>
      <c r="AT12" s="7" t="s">
        <v>736</v>
      </c>
      <c r="AU12" s="6" t="str">
        <f>_xlfn.XLOOKUP(AT12,対応表!$B:$B,対応表!$C:$C," ")</f>
        <v xml:space="preserve"> </v>
      </c>
      <c r="AV12" s="7" t="s">
        <v>737</v>
      </c>
      <c r="AW12" s="6" t="str">
        <f>_xlfn.XLOOKUP(AV12,対応表!$B:$B,対応表!$C:$C," ")</f>
        <v xml:space="preserve"> </v>
      </c>
      <c r="AX12" s="7" t="s">
        <v>738</v>
      </c>
      <c r="AY12" s="6" t="str">
        <f>_xlfn.XLOOKUP(AX12,対応表!$B:$B,対応表!$C:$C," ")</f>
        <v xml:space="preserve"> </v>
      </c>
      <c r="AZ12" s="7" t="s">
        <v>739</v>
      </c>
      <c r="BA12" s="6" t="str">
        <f>_xlfn.XLOOKUP(AZ12,対応表!$B:$B,対応表!$C:$C," ")</f>
        <v xml:space="preserve"> </v>
      </c>
      <c r="BB12" s="17" t="s">
        <v>740</v>
      </c>
      <c r="BC12" s="6" t="str">
        <f>_xlfn.XLOOKUP(BB12,対応表!$B:$B,対応表!$C:$C," ")</f>
        <v>見</v>
      </c>
      <c r="BD12" s="7" t="s">
        <v>741</v>
      </c>
      <c r="BE12" s="6" t="str">
        <f>_xlfn.XLOOKUP(BD12,対応表!$B:$B,対応表!$C:$C," ")</f>
        <v xml:space="preserve"> </v>
      </c>
      <c r="BF12" s="7" t="s">
        <v>742</v>
      </c>
      <c r="BG12" s="6" t="str">
        <f>_xlfn.XLOOKUP(BF12,対応表!$B:$B,対応表!$C:$C," ")</f>
        <v xml:space="preserve"> </v>
      </c>
      <c r="BH12" s="7" t="s">
        <v>743</v>
      </c>
      <c r="BI12" s="6" t="str">
        <f>_xlfn.XLOOKUP(BH12,対応表!$B:$B,対応表!$C:$C," ")</f>
        <v xml:space="preserve"> </v>
      </c>
      <c r="BJ12" s="7" t="s">
        <v>744</v>
      </c>
      <c r="BK12" s="6" t="str">
        <f>_xlfn.XLOOKUP(BJ12,対応表!$B:$B,対応表!$C:$C," ")</f>
        <v xml:space="preserve"> </v>
      </c>
      <c r="BL12" s="17" t="s">
        <v>745</v>
      </c>
      <c r="BM12" s="6" t="str">
        <f>_xlfn.XLOOKUP(BL12,対応表!$B:$B,対応表!$C:$C," ")</f>
        <v xml:space="preserve"> </v>
      </c>
      <c r="BN12" s="7" t="s">
        <v>746</v>
      </c>
      <c r="BO12" s="6" t="str">
        <f>_xlfn.XLOOKUP(BN12,対応表!$B:$B,対応表!$C:$C," ")</f>
        <v xml:space="preserve"> </v>
      </c>
      <c r="BP12" s="7" t="s">
        <v>747</v>
      </c>
      <c r="BQ12" s="6" t="str">
        <f>_xlfn.XLOOKUP(BP12,対応表!$B:$B,対応表!$C:$C," ")</f>
        <v xml:space="preserve"> </v>
      </c>
      <c r="BR12" s="7" t="s">
        <v>748</v>
      </c>
      <c r="BS12" s="6" t="str">
        <f>_xlfn.XLOOKUP(BR12,対応表!$B:$B,対応表!$C:$C," ")</f>
        <v xml:space="preserve"> </v>
      </c>
      <c r="BT12" s="7" t="s">
        <v>749</v>
      </c>
      <c r="BU12" s="6" t="str">
        <f>_xlfn.XLOOKUP(BT12,対応表!$B:$B,対応表!$C:$C," ")</f>
        <v xml:space="preserve"> </v>
      </c>
      <c r="BV12" s="7" t="s">
        <v>750</v>
      </c>
      <c r="BW12" s="6" t="str">
        <f>_xlfn.XLOOKUP(BV12,対応表!$B:$B,対応表!$C:$C," ")</f>
        <v xml:space="preserve"> </v>
      </c>
      <c r="BX12" s="7" t="s">
        <v>751</v>
      </c>
      <c r="BY12" s="6" t="str">
        <f>_xlfn.XLOOKUP(BX12,対応表!$B:$B,対応表!$C:$C," ")</f>
        <v>最</v>
      </c>
      <c r="BZ12" s="7" t="s">
        <v>752</v>
      </c>
      <c r="CA12" s="6" t="str">
        <f>_xlfn.XLOOKUP(BZ12,対応表!$B:$B,対応表!$C:$C," ")</f>
        <v xml:space="preserve"> </v>
      </c>
      <c r="CB12" s="7" t="s">
        <v>753</v>
      </c>
      <c r="CC12" s="6" t="str">
        <f>_xlfn.XLOOKUP(CB12,対応表!$B:$B,対応表!$C:$C," ")</f>
        <v xml:space="preserve"> </v>
      </c>
      <c r="CD12" s="7" t="s">
        <v>754</v>
      </c>
      <c r="CE12" s="6" t="str">
        <f>_xlfn.XLOOKUP(CD12,対応表!$B:$B,対応表!$C:$C," ")</f>
        <v xml:space="preserve"> </v>
      </c>
      <c r="CF12" s="7" t="s">
        <v>755</v>
      </c>
      <c r="CG12" s="6" t="str">
        <f>_xlfn.XLOOKUP(CF12,対応表!$B:$B,対応表!$C:$C," ")</f>
        <v>別?</v>
      </c>
      <c r="CH12" s="7" t="s">
        <v>756</v>
      </c>
      <c r="CI12" s="6" t="str">
        <f>_xlfn.XLOOKUP(CH12,対応表!$B:$B,対応表!$C:$C," ")</f>
        <v xml:space="preserve"> </v>
      </c>
      <c r="CJ12" s="7" t="s">
        <v>757</v>
      </c>
      <c r="CK12" s="6" t="str">
        <f>_xlfn.XLOOKUP(CJ12,対応表!$B:$B,対応表!$C:$C," ")</f>
        <v xml:space="preserve"> </v>
      </c>
      <c r="CL12" s="7" t="s">
        <v>758</v>
      </c>
      <c r="CM12" s="6" t="str">
        <f>_xlfn.XLOOKUP(CL12,対応表!$B:$B,対応表!$C:$C," ")</f>
        <v xml:space="preserve"> </v>
      </c>
      <c r="CN12" s="7" t="s">
        <v>759</v>
      </c>
      <c r="CO12" s="6" t="str">
        <f>_xlfn.XLOOKUP(CN12,対応表!$B:$B,対応表!$C:$C," ")</f>
        <v xml:space="preserve"> </v>
      </c>
      <c r="CP12" s="17" t="s">
        <v>760</v>
      </c>
      <c r="CQ12" s="6" t="str">
        <f>_xlfn.XLOOKUP(CP12,対応表!$B:$B,対応表!$C:$C," ")</f>
        <v>命</v>
      </c>
      <c r="CR12" s="7" t="s">
        <v>761</v>
      </c>
      <c r="CS12" s="6" t="str">
        <f>_xlfn.XLOOKUP(CR12,対応表!$B:$B,対応表!$C:$C," ")</f>
        <v xml:space="preserve"> </v>
      </c>
      <c r="CT12" s="7" t="s">
        <v>762</v>
      </c>
      <c r="CU12" s="6" t="str">
        <f>_xlfn.XLOOKUP(CT12,対応表!$B:$B,対応表!$C:$C," ")</f>
        <v xml:space="preserve"> </v>
      </c>
      <c r="CV12" s="7" t="s">
        <v>763</v>
      </c>
      <c r="CW12" s="6" t="str">
        <f>_xlfn.XLOOKUP(CV12,対応表!$B:$B,対応表!$C:$C," ")</f>
        <v xml:space="preserve"> </v>
      </c>
      <c r="CX12" s="7" t="s">
        <v>764</v>
      </c>
      <c r="CY12" s="6" t="str">
        <f>_xlfn.XLOOKUP(CX12,対応表!$B:$B,対応表!$C:$C," ")</f>
        <v xml:space="preserve"> </v>
      </c>
      <c r="CZ12" s="17" t="s">
        <v>765</v>
      </c>
      <c r="DA12" s="6" t="str">
        <f>_xlfn.XLOOKUP(CZ12,対応表!$B:$B,対応表!$C:$C," ")</f>
        <v xml:space="preserve"> </v>
      </c>
      <c r="DB12" s="7" t="s">
        <v>766</v>
      </c>
      <c r="DC12" s="6" t="str">
        <f>_xlfn.XLOOKUP(DB12,対応表!$B:$B,対応表!$C:$C," ")</f>
        <v xml:space="preserve"> </v>
      </c>
      <c r="DD12" s="7" t="s">
        <v>767</v>
      </c>
      <c r="DE12" s="6" t="str">
        <f>_xlfn.XLOOKUP(DD12,対応表!$B:$B,対応表!$C:$C," ")</f>
        <v xml:space="preserve"> </v>
      </c>
      <c r="DF12" s="7" t="s">
        <v>768</v>
      </c>
      <c r="DG12" s="6" t="str">
        <f>_xlfn.XLOOKUP(DF12,対応表!$B:$B,対応表!$C:$C," ")</f>
        <v xml:space="preserve"> </v>
      </c>
      <c r="DH12" s="7" t="s">
        <v>769</v>
      </c>
      <c r="DI12" s="6" t="str">
        <f>_xlfn.XLOOKUP(DH12,対応表!$B:$B,対応表!$C:$C," ")</f>
        <v xml:space="preserve"> </v>
      </c>
      <c r="DJ12" s="7" t="s">
        <v>770</v>
      </c>
      <c r="DK12" s="6" t="str">
        <f>_xlfn.XLOOKUP(DJ12,対応表!$B:$B,対応表!$C:$C," ")</f>
        <v xml:space="preserve"> </v>
      </c>
      <c r="DL12" s="7" t="s">
        <v>771</v>
      </c>
      <c r="DM12" s="6" t="str">
        <f>_xlfn.XLOOKUP(DL12,対応表!$B:$B,対応表!$C:$C," ")</f>
        <v xml:space="preserve"> </v>
      </c>
      <c r="DN12" s="7" t="s">
        <v>772</v>
      </c>
      <c r="DO12" s="6" t="str">
        <f>_xlfn.XLOOKUP(DN12,対応表!$B:$B,対応表!$C:$C," ")</f>
        <v xml:space="preserve"> </v>
      </c>
      <c r="DP12" s="7" t="s">
        <v>773</v>
      </c>
      <c r="DQ12" s="6" t="str">
        <f>_xlfn.XLOOKUP(DP12,対応表!$B:$B,対応表!$C:$C," ")</f>
        <v xml:space="preserve"> </v>
      </c>
      <c r="DR12" s="7" t="s">
        <v>774</v>
      </c>
      <c r="DS12" s="6" t="str">
        <f>_xlfn.XLOOKUP(DR12,対応表!$B:$B,対応表!$C:$C," ")</f>
        <v xml:space="preserve"> </v>
      </c>
      <c r="DT12" s="7" t="s">
        <v>775</v>
      </c>
      <c r="DU12" s="6" t="str">
        <f>_xlfn.XLOOKUP(DT12,対応表!$B:$B,対応表!$C:$C," ")</f>
        <v>思</v>
      </c>
      <c r="DV12" s="7" t="s">
        <v>776</v>
      </c>
      <c r="DW12" s="6" t="str">
        <f>_xlfn.XLOOKUP(DV12,対応表!$B:$B,対応表!$C:$C," ")</f>
        <v xml:space="preserve"> </v>
      </c>
      <c r="DX12" s="7" t="s">
        <v>777</v>
      </c>
      <c r="DY12" s="6" t="str">
        <f>_xlfn.XLOOKUP(DX12,対応表!$B:$B,対応表!$C:$C," ")</f>
        <v>限?</v>
      </c>
      <c r="DZ12" s="7" t="s">
        <v>778</v>
      </c>
      <c r="EA12" s="6" t="str">
        <f>_xlfn.XLOOKUP(DZ12,対応表!$B:$B,対応表!$C:$C," ")</f>
        <v xml:space="preserve"> </v>
      </c>
      <c r="EB12" s="7" t="s">
        <v>779</v>
      </c>
      <c r="EC12" s="6" t="str">
        <f>_xlfn.XLOOKUP(EB12,対応表!$B:$B,対応表!$C:$C," ")</f>
        <v xml:space="preserve"> </v>
      </c>
      <c r="ED12" s="17" t="s">
        <v>780</v>
      </c>
      <c r="EE12" s="6" t="str">
        <f>_xlfn.XLOOKUP(ED12,対応表!$B:$B,対応表!$C:$C," ")</f>
        <v xml:space="preserve"> </v>
      </c>
      <c r="EF12" s="7" t="s">
        <v>781</v>
      </c>
      <c r="EG12" s="6" t="str">
        <f>_xlfn.XLOOKUP(EF12,対応表!$B:$B,対応表!$C:$C," ")</f>
        <v xml:space="preserve"> </v>
      </c>
      <c r="EH12" s="7" t="s">
        <v>782</v>
      </c>
      <c r="EI12" s="6" t="str">
        <f>_xlfn.XLOOKUP(EH12,対応表!$B:$B,対応表!$C:$C," ")</f>
        <v xml:space="preserve"> </v>
      </c>
      <c r="EJ12" s="7" t="s">
        <v>783</v>
      </c>
      <c r="EK12" s="6" t="str">
        <f>_xlfn.XLOOKUP(EJ12,対応表!$B:$B,対応表!$C:$C," ")</f>
        <v xml:space="preserve"> </v>
      </c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</row>
    <row r="13" spans="1:219" ht="30" customHeight="1" x14ac:dyDescent="0.4">
      <c r="A13" s="9" t="s">
        <v>784</v>
      </c>
      <c r="B13" s="7" t="s">
        <v>785</v>
      </c>
      <c r="C13" s="6" t="str">
        <f>_xlfn.XLOOKUP(B13,対応表!$B:$B,対応表!$C:$C,"不")</f>
        <v>不</v>
      </c>
      <c r="D13" s="7" t="s">
        <v>786</v>
      </c>
      <c r="E13" s="6" t="str" cm="1">
        <f t="array" ref="E13">_xlfn.XLOOKUP(D13,対応表!$B:B,対応表!$C:C," ")</f>
        <v>受</v>
      </c>
      <c r="F13" s="7" t="s">
        <v>787</v>
      </c>
      <c r="G13" s="6" t="str">
        <f>_xlfn.XLOOKUP(F13,対応表!$B:$B,対応表!$C:$C," ")</f>
        <v xml:space="preserve"> </v>
      </c>
      <c r="H13" s="7" t="s">
        <v>788</v>
      </c>
      <c r="I13" s="6" t="str">
        <f>_xlfn.XLOOKUP(H13,対応表!$B:$B,対応表!$C:$C," ")</f>
        <v>深?</v>
      </c>
      <c r="J13" s="7" t="s">
        <v>789</v>
      </c>
      <c r="K13" s="6" t="str">
        <f>_xlfn.XLOOKUP(J13,対応表!$B:$B,対応表!$C:$C," ")</f>
        <v xml:space="preserve"> </v>
      </c>
      <c r="L13" s="7" t="s">
        <v>790</v>
      </c>
      <c r="M13" s="22" t="str">
        <f>_xlfn.XLOOKUP(L13,対応表!$B:$B,対応表!$C:$C,"た")</f>
        <v>た</v>
      </c>
      <c r="N13" s="7" t="s">
        <v>791</v>
      </c>
      <c r="O13" s="6" t="str">
        <f>_xlfn.XLOOKUP(N13,対応表!$B:$B,対応表!$C:$C," ")</f>
        <v xml:space="preserve"> </v>
      </c>
      <c r="P13" s="7" t="s">
        <v>792</v>
      </c>
      <c r="Q13" s="6" t="str">
        <f>_xlfn.XLOOKUP(P13,対応表!$B:$B,対応表!$C:$C," ")</f>
        <v xml:space="preserve"> </v>
      </c>
      <c r="R13" s="7" t="s">
        <v>793</v>
      </c>
      <c r="S13" s="6" t="str">
        <f>_xlfn.XLOOKUP(R13,対応表!$B:$B,対応表!$C:$C," ")</f>
        <v xml:space="preserve"> </v>
      </c>
      <c r="T13" s="7" t="s">
        <v>794</v>
      </c>
      <c r="U13" s="6" t="str">
        <f>_xlfn.XLOOKUP(T13,対応表!$B:$B,対応表!$C:$C," ")</f>
        <v>防?</v>
      </c>
      <c r="V13" s="7" t="s">
        <v>795</v>
      </c>
      <c r="W13" s="6" t="str">
        <f>_xlfn.XLOOKUP(V13,対応表!$B:$B,対応表!$C:$C," ")</f>
        <v>形</v>
      </c>
      <c r="X13" s="7" t="s">
        <v>796</v>
      </c>
      <c r="Y13" s="6" t="str">
        <f>_xlfn.XLOOKUP(X13,対応表!$B:$B,対応表!$C:$C," ")</f>
        <v xml:space="preserve"> </v>
      </c>
      <c r="Z13" s="7" t="s">
        <v>797</v>
      </c>
      <c r="AA13" s="6" t="str">
        <f>_xlfn.XLOOKUP(Z13,対応表!$B:$B,対応表!$C:$C," ")</f>
        <v xml:space="preserve"> </v>
      </c>
      <c r="AB13" s="17" t="s">
        <v>798</v>
      </c>
      <c r="AC13" s="6" t="str">
        <f>_xlfn.XLOOKUP(AB13,対応表!$B:$B,対応表!$C:$C," ")</f>
        <v xml:space="preserve"> </v>
      </c>
      <c r="AD13" s="7" t="s">
        <v>799</v>
      </c>
      <c r="AE13" s="6" t="str">
        <f>_xlfn.XLOOKUP(AD13,対応表!$B:$B,対応表!$C:$C," ")</f>
        <v xml:space="preserve"> </v>
      </c>
      <c r="AF13" s="7" t="s">
        <v>800</v>
      </c>
      <c r="AG13" s="6" t="str">
        <f>_xlfn.XLOOKUP(AF13,対応表!$B:$B,対応表!$C:$C," ")</f>
        <v xml:space="preserve"> </v>
      </c>
      <c r="AH13" s="7" t="s">
        <v>801</v>
      </c>
      <c r="AI13" s="6" t="str">
        <f>_xlfn.XLOOKUP(AH13,対応表!$B:$B,対応表!$C:$C," ")</f>
        <v xml:space="preserve"> </v>
      </c>
      <c r="AJ13" s="7" t="s">
        <v>802</v>
      </c>
      <c r="AK13" s="6" t="str">
        <f>_xlfn.XLOOKUP(AJ13,対応表!$B:$B,対応表!$C:$C," ")</f>
        <v xml:space="preserve"> </v>
      </c>
      <c r="AL13" s="7" t="s">
        <v>803</v>
      </c>
      <c r="AM13" s="6" t="str">
        <f>_xlfn.XLOOKUP(AL13,対応表!$B:$B,対応表!$C:$C," ")</f>
        <v>食</v>
      </c>
      <c r="AN13" s="7" t="s">
        <v>804</v>
      </c>
      <c r="AO13" s="6" t="str">
        <f>_xlfn.XLOOKUP(AN13,対応表!$B:$B,対応表!$C:$C," ")</f>
        <v xml:space="preserve"> </v>
      </c>
      <c r="AP13" s="7" t="s">
        <v>805</v>
      </c>
      <c r="AQ13" s="6" t="str">
        <f>_xlfn.XLOOKUP(AP13,対応表!$B:$B,対応表!$C:$C," ")</f>
        <v>越?</v>
      </c>
      <c r="AR13" s="7" t="s">
        <v>806</v>
      </c>
      <c r="AS13" s="6" t="str">
        <f>_xlfn.XLOOKUP(AR13,対応表!$B:$B,対応表!$C:$C," ")</f>
        <v xml:space="preserve"> </v>
      </c>
      <c r="AT13" s="7" t="s">
        <v>807</v>
      </c>
      <c r="AU13" s="6" t="str">
        <f>_xlfn.XLOOKUP(AT13,対応表!$B:$B,対応表!$C:$C," ")</f>
        <v>込</v>
      </c>
      <c r="AV13" s="7" t="s">
        <v>808</v>
      </c>
      <c r="AW13" s="6" t="str">
        <f>_xlfn.XLOOKUP(AV13,対応表!$B:$B,対応表!$C:$C," ")</f>
        <v xml:space="preserve"> </v>
      </c>
      <c r="AX13" s="7" t="s">
        <v>809</v>
      </c>
      <c r="AY13" s="6" t="str">
        <f>_xlfn.XLOOKUP(AX13,対応表!$B:$B,対応表!$C:$C," ")</f>
        <v xml:space="preserve"> </v>
      </c>
      <c r="AZ13" s="7" t="s">
        <v>810</v>
      </c>
      <c r="BA13" s="6" t="str">
        <f>_xlfn.XLOOKUP(AZ13,対応表!$B:$B,対応表!$C:$C," ")</f>
        <v xml:space="preserve"> </v>
      </c>
      <c r="BB13" s="7" t="s">
        <v>811</v>
      </c>
      <c r="BC13" s="6" t="str">
        <f>_xlfn.XLOOKUP(BB13,対応表!$B:$B,対応表!$C:$C," ")</f>
        <v xml:space="preserve"> </v>
      </c>
      <c r="BD13" s="7" t="s">
        <v>812</v>
      </c>
      <c r="BE13" s="6" t="str">
        <f>_xlfn.XLOOKUP(BD13,対応表!$B:$B,対応表!$C:$C," ")</f>
        <v xml:space="preserve"> </v>
      </c>
      <c r="BF13" s="7" t="s">
        <v>813</v>
      </c>
      <c r="BG13" s="6" t="str">
        <f>_xlfn.XLOOKUP(BF13,対応表!$B:$B,対応表!$C:$C," ")</f>
        <v xml:space="preserve"> </v>
      </c>
      <c r="BH13" s="7" t="s">
        <v>814</v>
      </c>
      <c r="BI13" s="6" t="str">
        <f>_xlfn.XLOOKUP(BH13,対応表!$B:$B,対応表!$C:$C," ")</f>
        <v xml:space="preserve"> </v>
      </c>
      <c r="BJ13" s="7" t="s">
        <v>815</v>
      </c>
      <c r="BK13" s="6" t="str">
        <f>_xlfn.XLOOKUP(BJ13,対応表!$B:$B,対応表!$C:$C," ")</f>
        <v>多</v>
      </c>
      <c r="BL13" s="7" t="s">
        <v>816</v>
      </c>
      <c r="BM13" s="6" t="str">
        <f>_xlfn.XLOOKUP(BL13,対応表!$B:$B,対応表!$C:$C," ")</f>
        <v xml:space="preserve"> </v>
      </c>
      <c r="BN13" s="7" t="s">
        <v>817</v>
      </c>
      <c r="BO13" s="6" t="str">
        <f>_xlfn.XLOOKUP(BN13,対応表!$B:$B,対応表!$C:$C," ")</f>
        <v xml:space="preserve"> </v>
      </c>
      <c r="BP13" s="7" t="s">
        <v>818</v>
      </c>
      <c r="BQ13" s="6" t="str">
        <f>_xlfn.XLOOKUP(BP13,対応表!$B:$B,対応表!$C:$C," ")</f>
        <v xml:space="preserve"> </v>
      </c>
      <c r="BR13" s="7" t="s">
        <v>819</v>
      </c>
      <c r="BS13" s="6" t="str">
        <f>_xlfn.XLOOKUP(BR13,対応表!$B:$B,対応表!$C:$C," ")</f>
        <v xml:space="preserve"> </v>
      </c>
      <c r="BT13" s="7" t="s">
        <v>820</v>
      </c>
      <c r="BU13" s="6" t="str">
        <f>_xlfn.XLOOKUP(BT13,対応表!$B:$B,対応表!$C:$C," ")</f>
        <v xml:space="preserve"> </v>
      </c>
      <c r="BV13" s="7" t="s">
        <v>821</v>
      </c>
      <c r="BW13" s="6" t="str">
        <f>_xlfn.XLOOKUP(BV13,対応表!$B:$B,対応表!$C:$C," ")</f>
        <v>同?</v>
      </c>
      <c r="BX13" s="7" t="s">
        <v>822</v>
      </c>
      <c r="BY13" s="6" t="str">
        <f>_xlfn.XLOOKUP(BX13,対応表!$B:$B,対応表!$C:$C," ")</f>
        <v>中</v>
      </c>
      <c r="BZ13" s="7" t="s">
        <v>823</v>
      </c>
      <c r="CA13" s="6" t="str">
        <f>_xlfn.XLOOKUP(BZ13,対応表!$B:$B,対応表!$C:$C," ")</f>
        <v xml:space="preserve"> </v>
      </c>
      <c r="CB13" s="7" t="s">
        <v>824</v>
      </c>
      <c r="CC13" s="6" t="str">
        <f>_xlfn.XLOOKUP(CB13,対応表!$B:$B,対応表!$C:$C," ")</f>
        <v xml:space="preserve"> </v>
      </c>
      <c r="CD13" s="7" t="s">
        <v>825</v>
      </c>
      <c r="CE13" s="6" t="str">
        <f>_xlfn.XLOOKUP(CD13,対応表!$B:$B,対応表!$C:$C," ")</f>
        <v xml:space="preserve"> </v>
      </c>
      <c r="CF13" s="7" t="s">
        <v>826</v>
      </c>
      <c r="CG13" s="6" t="str">
        <f>_xlfn.XLOOKUP(CF13,対応表!$B:$B,対応表!$C:$C,"が")</f>
        <v>が</v>
      </c>
      <c r="CH13" s="7" t="s">
        <v>827</v>
      </c>
      <c r="CI13" s="6" t="str">
        <f>_xlfn.XLOOKUP(CH13,対応表!$B:$B,対応表!$C:$C," ")</f>
        <v xml:space="preserve"> </v>
      </c>
      <c r="CJ13" s="7" t="s">
        <v>828</v>
      </c>
      <c r="CK13" s="6" t="str">
        <f>_xlfn.XLOOKUP(CJ13,対応表!$B:$B,対応表!$C:$C," ")</f>
        <v xml:space="preserve"> </v>
      </c>
      <c r="CL13" s="7" t="s">
        <v>829</v>
      </c>
      <c r="CM13" s="6" t="str">
        <f>_xlfn.XLOOKUP(CL13,対応表!$B:$B,対応表!$C:$C," ")</f>
        <v xml:space="preserve"> </v>
      </c>
      <c r="CN13" s="7" t="s">
        <v>830</v>
      </c>
      <c r="CO13" s="6" t="str">
        <f>_xlfn.XLOOKUP(CN13,対応表!$B:$B,対応表!$C:$C," ")</f>
        <v xml:space="preserve"> </v>
      </c>
      <c r="CP13" s="7" t="s">
        <v>831</v>
      </c>
      <c r="CQ13" s="6" t="str">
        <f>_xlfn.XLOOKUP(CP13,対応表!$B:$B,対応表!$C:$C,"を")</f>
        <v>を</v>
      </c>
      <c r="CR13" s="7" t="s">
        <v>832</v>
      </c>
      <c r="CS13" s="6" t="str">
        <f>_xlfn.XLOOKUP(CR13,対応表!$B:$B,対応表!$C:$C," ")</f>
        <v xml:space="preserve"> </v>
      </c>
      <c r="CT13" s="7" t="s">
        <v>833</v>
      </c>
      <c r="CU13" s="6" t="str">
        <f>_xlfn.XLOOKUP(CT13,対応表!$B:$B,対応表!$C:$C," ")</f>
        <v xml:space="preserve"> </v>
      </c>
      <c r="CV13" s="7" t="s">
        <v>834</v>
      </c>
      <c r="CW13" s="6" t="str">
        <f>_xlfn.XLOOKUP(CV13,対応表!$B:$B,対応表!$C:$C," ")</f>
        <v xml:space="preserve"> </v>
      </c>
      <c r="CX13" s="7" t="s">
        <v>835</v>
      </c>
      <c r="CY13" s="6" t="str">
        <f>_xlfn.XLOOKUP(CX13,対応表!$B:$B,対応表!$C:$C," ")</f>
        <v xml:space="preserve"> </v>
      </c>
      <c r="CZ13" s="7" t="s">
        <v>836</v>
      </c>
      <c r="DA13" s="6" t="str">
        <f>_xlfn.XLOOKUP(CZ13,対応表!$B:$B,対応表!$C:$C," ")</f>
        <v xml:space="preserve"> </v>
      </c>
      <c r="DB13" s="7" t="s">
        <v>837</v>
      </c>
      <c r="DC13" s="6" t="str">
        <f>_xlfn.XLOOKUP(DB13,対応表!$B:$B,対応表!$C:$C," ")</f>
        <v xml:space="preserve"> </v>
      </c>
      <c r="DD13" s="17" t="s">
        <v>838</v>
      </c>
      <c r="DE13" s="6" t="str">
        <f>_xlfn.XLOOKUP(DD13,対応表!$B:$B,対応表!$C:$C," ")</f>
        <v xml:space="preserve"> </v>
      </c>
      <c r="DF13" s="7" t="s">
        <v>839</v>
      </c>
      <c r="DG13" s="6" t="str">
        <f>_xlfn.XLOOKUP(DF13,対応表!$B:$B,対応表!$C:$C," ")</f>
        <v xml:space="preserve"> </v>
      </c>
      <c r="DH13" s="7" t="s">
        <v>840</v>
      </c>
      <c r="DI13" s="6" t="str">
        <f>_xlfn.XLOOKUP(DH13,対応表!$B:$B,対応表!$C:$C," ")</f>
        <v xml:space="preserve"> </v>
      </c>
      <c r="DJ13" s="7" t="s">
        <v>841</v>
      </c>
      <c r="DK13" s="6" t="str">
        <f>_xlfn.XLOOKUP(DJ13,対応表!$B:$B,対応表!$C:$C," ")</f>
        <v>子</v>
      </c>
      <c r="DL13" s="7" t="s">
        <v>842</v>
      </c>
      <c r="DM13" s="6" t="str">
        <f>_xlfn.XLOOKUP(DL13,対応表!$B:$B,対応表!$C:$C," ")</f>
        <v xml:space="preserve"> </v>
      </c>
      <c r="DN13" s="7" t="s">
        <v>843</v>
      </c>
      <c r="DO13" s="6" t="str">
        <f>_xlfn.XLOOKUP(DN13,対応表!$B:$B,対応表!$C:$C," ")</f>
        <v xml:space="preserve"> </v>
      </c>
      <c r="DP13" s="7" t="s">
        <v>844</v>
      </c>
      <c r="DQ13" s="6" t="str">
        <f>_xlfn.XLOOKUP(DP13,対応表!$B:$B,対応表!$C:$C," ")</f>
        <v xml:space="preserve"> </v>
      </c>
      <c r="DR13" s="7" t="s">
        <v>845</v>
      </c>
      <c r="DS13" s="6" t="str">
        <f>_xlfn.XLOOKUP(DR13,対応表!$B:$B,対応表!$C:$C," ")</f>
        <v xml:space="preserve"> </v>
      </c>
      <c r="DT13" s="7" t="s">
        <v>846</v>
      </c>
      <c r="DU13" s="6" t="str">
        <f>_xlfn.XLOOKUP(DT13,対応表!$B:$B,対応表!$C:$C," ")</f>
        <v xml:space="preserve"> </v>
      </c>
      <c r="DV13" s="7" t="s">
        <v>847</v>
      </c>
      <c r="DW13" s="6" t="str">
        <f>_xlfn.XLOOKUP(DV13,対応表!$B:$B,対応表!$C:$C," ")</f>
        <v>兆?</v>
      </c>
      <c r="DX13" s="7" t="s">
        <v>848</v>
      </c>
      <c r="DY13" s="6" t="str">
        <f>_xlfn.XLOOKUP(DX13,対応表!$B:$B,対応表!$C:$C," ")</f>
        <v xml:space="preserve"> </v>
      </c>
      <c r="DZ13" s="7" t="s">
        <v>849</v>
      </c>
      <c r="EA13" s="6" t="str">
        <f>_xlfn.XLOOKUP(DZ13,対応表!$B:$B,対応表!$C:$C," ")</f>
        <v xml:space="preserve"> </v>
      </c>
      <c r="EB13" s="7" t="s">
        <v>850</v>
      </c>
      <c r="EC13" s="6" t="str">
        <f>_xlfn.XLOOKUP(EB13,対応表!$B:$B,対応表!$C:$C," ")</f>
        <v xml:space="preserve"> </v>
      </c>
      <c r="ED13" s="7" t="s">
        <v>851</v>
      </c>
      <c r="EE13" s="6" t="str">
        <f>_xlfn.XLOOKUP(ED13,対応表!$B:$B,対応表!$C:$C," ")</f>
        <v xml:space="preserve"> </v>
      </c>
      <c r="EF13" s="7" t="s">
        <v>852</v>
      </c>
      <c r="EG13" s="6" t="str">
        <f>_xlfn.XLOOKUP(EF13,対応表!$B:$B,対応表!$C:$C," ")</f>
        <v xml:space="preserve"> </v>
      </c>
      <c r="EH13" s="7" t="s">
        <v>853</v>
      </c>
      <c r="EI13" s="6" t="str">
        <f>_xlfn.XLOOKUP(EH13,対応表!$B:$B,対応表!$C:$C," ")</f>
        <v xml:space="preserve"> </v>
      </c>
      <c r="EJ13" s="7" t="s">
        <v>854</v>
      </c>
      <c r="EK13" s="6" t="str">
        <f>_xlfn.XLOOKUP(EJ13,対応表!$B:$B,対応表!$C:$C," ")</f>
        <v xml:space="preserve"> </v>
      </c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</row>
    <row r="14" spans="1:219" ht="30" customHeight="1" x14ac:dyDescent="0.4">
      <c r="A14" s="9" t="s">
        <v>855</v>
      </c>
      <c r="B14" s="7" t="s">
        <v>856</v>
      </c>
      <c r="C14" s="6" t="str">
        <f>_xlfn.XLOOKUP(B14,対応表!$B:$B,対応表!$C:$C," ")</f>
        <v>確?</v>
      </c>
      <c r="D14" s="7" t="s">
        <v>857</v>
      </c>
      <c r="E14" s="6" t="str" cm="1">
        <f t="array" ref="E14">_xlfn.XLOOKUP(D14,対応表!$B:B,対応表!$C:C," ")</f>
        <v>け</v>
      </c>
      <c r="F14" s="7" t="s">
        <v>858</v>
      </c>
      <c r="G14" s="6" t="str">
        <f>_xlfn.XLOOKUP(F14,対応表!$B:$B,対応表!$C:$C," ")</f>
        <v xml:space="preserve"> </v>
      </c>
      <c r="H14" s="7" t="s">
        <v>859</v>
      </c>
      <c r="I14" s="6" t="str">
        <f>_xlfn.XLOOKUP(H14,対応表!$B:$B,対応表!$C:$C," ")</f>
        <v>く</v>
      </c>
      <c r="J14" s="7" t="s">
        <v>860</v>
      </c>
      <c r="K14" s="6" t="str">
        <f>_xlfn.XLOOKUP(J14,対応表!$B:$B,対応表!$C:$C," ")</f>
        <v>と</v>
      </c>
      <c r="L14" s="7" t="s">
        <v>861</v>
      </c>
      <c r="M14" s="6" t="str">
        <f>_xlfn.XLOOKUP(L14,対応表!$B:$B,対応表!$C:$C," ")</f>
        <v>だ</v>
      </c>
      <c r="N14" s="7" t="s">
        <v>862</v>
      </c>
      <c r="O14" s="6" t="str">
        <f>_xlfn.XLOOKUP(N14,対応表!$B:$B,対応表!$C:$C," ")</f>
        <v>そ</v>
      </c>
      <c r="P14" s="7" t="s">
        <v>864</v>
      </c>
      <c r="Q14" s="6" t="str">
        <f>_xlfn.XLOOKUP(P14,対応表!$B:$B,対応表!$C:$C," ")</f>
        <v xml:space="preserve"> </v>
      </c>
      <c r="R14" s="7" t="s">
        <v>865</v>
      </c>
      <c r="S14" s="6" t="str">
        <f>_xlfn.XLOOKUP(R14,対応表!$B:$B,対応表!$C:$C," ")</f>
        <v xml:space="preserve"> </v>
      </c>
      <c r="T14" s="7" t="s">
        <v>866</v>
      </c>
      <c r="U14" s="6" t="str">
        <f>_xlfn.XLOOKUP(T14,対応表!$B:$B,対応表!$C:$C," ")</f>
        <v xml:space="preserve"> </v>
      </c>
      <c r="V14" s="7" t="s">
        <v>867</v>
      </c>
      <c r="W14" s="6" t="str">
        <f>_xlfn.XLOOKUP(V14,対応表!$B:$B,対応表!$C:$C," ")</f>
        <v xml:space="preserve"> </v>
      </c>
      <c r="X14" s="7" t="s">
        <v>868</v>
      </c>
      <c r="Y14" s="6" t="str">
        <f>_xlfn.XLOOKUP(X14,対応表!$B:$B,対応表!$C:$C," ")</f>
        <v xml:space="preserve"> </v>
      </c>
      <c r="Z14" s="7" t="s">
        <v>869</v>
      </c>
      <c r="AA14" s="6" t="str">
        <f>_xlfn.XLOOKUP(Z14,対応表!$B:$B,対応表!$C:$C," ")</f>
        <v xml:space="preserve"> </v>
      </c>
      <c r="AB14" s="7" t="s">
        <v>870</v>
      </c>
      <c r="AC14" s="6" t="str">
        <f>_xlfn.XLOOKUP(AB14,対応表!$B:$B,対応表!$C:$C," ")</f>
        <v>街</v>
      </c>
      <c r="AD14" s="7" t="s">
        <v>871</v>
      </c>
      <c r="AE14" s="6" t="str">
        <f>_xlfn.XLOOKUP(AD14,対応表!$B:$B,対応表!$C:$C," ")</f>
        <v xml:space="preserve"> </v>
      </c>
      <c r="AF14" s="7" t="s">
        <v>872</v>
      </c>
      <c r="AG14" s="6" t="str">
        <f>_xlfn.XLOOKUP(AF14,対応表!$B:$B,対応表!$C:$C," ")</f>
        <v xml:space="preserve"> </v>
      </c>
      <c r="AH14" s="7" t="s">
        <v>873</v>
      </c>
      <c r="AI14" s="6" t="str">
        <f>_xlfn.XLOOKUP(AH14,対応表!$B:$B,対応表!$C:$C," ")</f>
        <v>自</v>
      </c>
      <c r="AJ14" s="7" t="s">
        <v>874</v>
      </c>
      <c r="AK14" s="6" t="str">
        <f>_xlfn.XLOOKUP(AJ14,対応表!$B:$B,対応表!$C:$C," ")</f>
        <v>空</v>
      </c>
      <c r="AL14" s="7" t="s">
        <v>875</v>
      </c>
      <c r="AM14" s="6" t="str">
        <f>_xlfn.XLOOKUP(AL14,対応表!$B:$B,対応表!$C:$C," ")</f>
        <v>事</v>
      </c>
      <c r="AN14" s="17" t="s">
        <v>876</v>
      </c>
      <c r="AO14" s="6" t="str">
        <f>_xlfn.XLOOKUP(AN14,対応表!$B:$B,対応表!$C:$C," ")</f>
        <v xml:space="preserve"> </v>
      </c>
      <c r="AP14" s="7" t="s">
        <v>877</v>
      </c>
      <c r="AQ14" s="6" t="str">
        <f>_xlfn.XLOOKUP(AP14,対応表!$B:$B,対応表!$C:$C," ")</f>
        <v xml:space="preserve"> </v>
      </c>
      <c r="AR14" s="7" t="s">
        <v>878</v>
      </c>
      <c r="AS14" s="6" t="str">
        <f>_xlfn.XLOOKUP(AR14,対応表!$B:$B,対応表!$C:$C," ")</f>
        <v xml:space="preserve"> </v>
      </c>
      <c r="AT14" s="17" t="s">
        <v>879</v>
      </c>
      <c r="AU14" s="6" t="str">
        <f>_xlfn.XLOOKUP(AT14,対応表!$B:$B,対応表!$C:$C," ")</f>
        <v xml:space="preserve"> </v>
      </c>
      <c r="AV14" s="7" t="s">
        <v>880</v>
      </c>
      <c r="AW14" s="6" t="str">
        <f>_xlfn.XLOOKUP(AV14,対応表!$B:$B,対応表!$C:$C," ")</f>
        <v xml:space="preserve"> </v>
      </c>
      <c r="AX14" s="7" t="s">
        <v>881</v>
      </c>
      <c r="AY14" s="6" t="str">
        <f>_xlfn.XLOOKUP(AX14,対応表!$B:$B,対応表!$C:$C," ")</f>
        <v xml:space="preserve"> </v>
      </c>
      <c r="AZ14" s="7" t="s">
        <v>882</v>
      </c>
      <c r="BA14" s="6" t="str">
        <f>_xlfn.XLOOKUP(AZ14,対応表!$B:$B,対応表!$C:$C," ")</f>
        <v xml:space="preserve"> </v>
      </c>
      <c r="BB14" s="7" t="s">
        <v>883</v>
      </c>
      <c r="BC14" s="6" t="str">
        <f>_xlfn.XLOOKUP(BB14,対応表!$B:$B,対応表!$C:$C," ")</f>
        <v xml:space="preserve"> </v>
      </c>
      <c r="BD14" s="7" t="s">
        <v>884</v>
      </c>
      <c r="BE14" s="6" t="str">
        <f>_xlfn.XLOOKUP(BD14,対応表!$B:$B,対応表!$C:$C," ")</f>
        <v xml:space="preserve"> </v>
      </c>
      <c r="BF14" s="7" t="s">
        <v>885</v>
      </c>
      <c r="BG14" s="6" t="str">
        <f>_xlfn.XLOOKUP(BF14,対応表!$B:$B,対応表!$C:$C," ")</f>
        <v xml:space="preserve"> </v>
      </c>
      <c r="BH14" s="7" t="s">
        <v>886</v>
      </c>
      <c r="BI14" s="6" t="str">
        <f>_xlfn.XLOOKUP(BH14,対応表!$B:$B,対応表!$C:$C," ")</f>
        <v xml:space="preserve"> </v>
      </c>
      <c r="BJ14" s="7" t="s">
        <v>887</v>
      </c>
      <c r="BK14" s="6" t="str">
        <f>_xlfn.XLOOKUP(BJ14,対応表!$B:$B,対応表!$C:$C," ")</f>
        <v xml:space="preserve"> </v>
      </c>
      <c r="BL14" s="7" t="s">
        <v>888</v>
      </c>
      <c r="BM14" s="6" t="str">
        <f>_xlfn.XLOOKUP(BL14,対応表!$B:$B,対応表!$C:$C," ")</f>
        <v xml:space="preserve"> </v>
      </c>
      <c r="BN14" s="17" t="s">
        <v>889</v>
      </c>
      <c r="BO14" s="6" t="str">
        <f>_xlfn.XLOOKUP(BN14,対応表!$B:$B,対応表!$C:$C," ")</f>
        <v xml:space="preserve"> </v>
      </c>
      <c r="BP14" s="7" t="s">
        <v>890</v>
      </c>
      <c r="BQ14" s="6" t="str">
        <f>_xlfn.XLOOKUP(BP14,対応表!$B:$B,対応表!$C:$C," ")</f>
        <v>相</v>
      </c>
      <c r="BR14" s="7" t="s">
        <v>891</v>
      </c>
      <c r="BS14" s="6" t="str">
        <f>_xlfn.XLOOKUP(BR14,対応表!$B:$B,対応表!$C:$C," ")</f>
        <v xml:space="preserve"> </v>
      </c>
      <c r="BT14" s="17" t="s">
        <v>892</v>
      </c>
      <c r="BU14" s="6" t="str">
        <f>_xlfn.XLOOKUP(BT14,対応表!$B:$B,対応表!$C:$C," ")</f>
        <v xml:space="preserve"> </v>
      </c>
      <c r="BV14" s="7" t="s">
        <v>893</v>
      </c>
      <c r="BW14" s="6" t="str">
        <f>_xlfn.XLOOKUP(BV14,対応表!$B:$B,対応表!$C:$C," ")</f>
        <v xml:space="preserve"> </v>
      </c>
      <c r="BX14" s="7" t="s">
        <v>894</v>
      </c>
      <c r="BY14" s="6" t="str">
        <f>_xlfn.XLOOKUP(BX14,対応表!$B:$B,対応表!$C:$C," ")</f>
        <v xml:space="preserve"> </v>
      </c>
      <c r="BZ14" s="7" t="s">
        <v>895</v>
      </c>
      <c r="CA14" s="6" t="str">
        <f>_xlfn.XLOOKUP(BZ14,対応表!$B:$B,対応表!$C:$C," ")</f>
        <v xml:space="preserve"> </v>
      </c>
      <c r="CB14" s="7" t="s">
        <v>896</v>
      </c>
      <c r="CC14" s="6" t="str">
        <f>_xlfn.XLOOKUP(CB14,対応表!$B:$B,対応表!$C:$C," ")</f>
        <v xml:space="preserve"> </v>
      </c>
      <c r="CD14" s="7" t="s">
        <v>897</v>
      </c>
      <c r="CE14" s="6" t="str">
        <f>_xlfn.XLOOKUP(CD14,対応表!$B:$B,対応表!$C:$C," ")</f>
        <v xml:space="preserve"> </v>
      </c>
      <c r="CF14" s="7" t="s">
        <v>898</v>
      </c>
      <c r="CG14" s="6" t="str">
        <f>_xlfn.XLOOKUP(CF14,対応表!$B:$B,対応表!$C:$C," ")</f>
        <v>存</v>
      </c>
      <c r="CH14" s="7" t="s">
        <v>899</v>
      </c>
      <c r="CI14" s="6" t="str">
        <f>_xlfn.XLOOKUP(CH14,対応表!$B:$B,対応表!$C:$C," ")</f>
        <v xml:space="preserve"> </v>
      </c>
      <c r="CJ14" s="7" t="s">
        <v>900</v>
      </c>
      <c r="CK14" s="6" t="str">
        <f>_xlfn.XLOOKUP(CJ14,対応表!$B:$B,対応表!$C:$C," ")</f>
        <v xml:space="preserve"> </v>
      </c>
      <c r="CL14" s="7" t="s">
        <v>901</v>
      </c>
      <c r="CM14" s="6" t="str">
        <f>_xlfn.XLOOKUP(CL14,対応表!$B:$B,対応表!$C:$C," ")</f>
        <v xml:space="preserve"> </v>
      </c>
      <c r="CN14" s="7" t="s">
        <v>902</v>
      </c>
      <c r="CO14" s="6" t="str">
        <f>_xlfn.XLOOKUP(CN14,対応表!$B:$B,対応表!$C:$C," ")</f>
        <v xml:space="preserve"> </v>
      </c>
      <c r="CP14" s="7" t="s">
        <v>903</v>
      </c>
      <c r="CQ14" s="6" t="str">
        <f>_xlfn.XLOOKUP(CP14,対応表!$B:$B,対応表!$C:$C," ")</f>
        <v>大</v>
      </c>
      <c r="CR14" s="7" t="s">
        <v>904</v>
      </c>
      <c r="CS14" s="6" t="str">
        <f>_xlfn.XLOOKUP(CR14,対応表!$B:$B,対応表!$C:$C," ")</f>
        <v xml:space="preserve"> </v>
      </c>
      <c r="CT14" s="7" t="s">
        <v>905</v>
      </c>
      <c r="CU14" s="6" t="str">
        <f>_xlfn.XLOOKUP(CT14,対応表!$B:$B,対応表!$C:$C," ")</f>
        <v>ぴ</v>
      </c>
      <c r="CV14" s="7" t="s">
        <v>906</v>
      </c>
      <c r="CW14" s="6" t="str">
        <f>_xlfn.XLOOKUP(CV14,対応表!$B:$B,対応表!$C:$C," ")</f>
        <v xml:space="preserve"> </v>
      </c>
      <c r="CX14" s="7" t="s">
        <v>907</v>
      </c>
      <c r="CY14" s="6" t="str">
        <f>_xlfn.XLOOKUP(CX14,対応表!$B:$B,対応表!$C:$C," ")</f>
        <v>続</v>
      </c>
      <c r="CZ14" s="7" t="s">
        <v>908</v>
      </c>
      <c r="DA14" s="6" t="str">
        <f>_xlfn.XLOOKUP(CZ14,対応表!$B:$B,対応表!$C:$C," ")</f>
        <v xml:space="preserve"> </v>
      </c>
      <c r="DB14" s="7" t="s">
        <v>909</v>
      </c>
      <c r="DC14" s="6" t="str">
        <f>_xlfn.XLOOKUP(DB14,対応表!$B:$B,対応表!$C:$C," ")</f>
        <v xml:space="preserve"> </v>
      </c>
      <c r="DD14" s="7" t="s">
        <v>910</v>
      </c>
      <c r="DE14" s="6" t="str">
        <f>_xlfn.XLOOKUP(DD14,対応表!$B:$B,対応表!$C:$C," ")</f>
        <v xml:space="preserve"> </v>
      </c>
      <c r="DF14" s="7" t="s">
        <v>911</v>
      </c>
      <c r="DG14" s="6" t="str">
        <f>_xlfn.XLOOKUP(DF14,対応表!$B:$B,対応表!$C:$C," ")</f>
        <v>清</v>
      </c>
      <c r="DH14" s="7" t="s">
        <v>912</v>
      </c>
      <c r="DI14" s="6" t="str">
        <f>_xlfn.XLOOKUP(DH14,対応表!$B:$B,対応表!$C:$C," ")</f>
        <v xml:space="preserve"> </v>
      </c>
      <c r="DJ14" s="7" t="s">
        <v>913</v>
      </c>
      <c r="DK14" s="6" t="str">
        <f>_xlfn.XLOOKUP(DJ14,対応表!$B:$B,対応表!$C:$C," ")</f>
        <v xml:space="preserve"> </v>
      </c>
      <c r="DL14" s="7" t="s">
        <v>914</v>
      </c>
      <c r="DM14" s="6" t="str">
        <f>_xlfn.XLOOKUP(DL14,対応表!$B:$B,対応表!$C:$C," ")</f>
        <v xml:space="preserve"> </v>
      </c>
      <c r="DN14" s="7" t="s">
        <v>915</v>
      </c>
      <c r="DO14" s="6" t="str">
        <f>_xlfn.XLOOKUP(DN14,対応表!$B:$B,対応表!$C:$C," ")</f>
        <v xml:space="preserve"> </v>
      </c>
      <c r="DP14" s="7" t="s">
        <v>916</v>
      </c>
      <c r="DQ14" s="6" t="str">
        <f>_xlfn.XLOOKUP(DP14,対応表!$B:$B,対応表!$C:$C," ")</f>
        <v xml:space="preserve"> </v>
      </c>
      <c r="DR14" s="7" t="s">
        <v>917</v>
      </c>
      <c r="DS14" s="6" t="str">
        <f>_xlfn.XLOOKUP(DR14,対応表!$B:$B,対応表!$C:$C," ")</f>
        <v xml:space="preserve"> </v>
      </c>
      <c r="DT14" s="7" t="s">
        <v>918</v>
      </c>
      <c r="DU14" s="6" t="str">
        <f>_xlfn.XLOOKUP(DT14,対応表!$B:$B,対応表!$C:$C," ")</f>
        <v xml:space="preserve"> </v>
      </c>
      <c r="DV14" s="7" t="s">
        <v>919</v>
      </c>
      <c r="DW14" s="6" t="str">
        <f>_xlfn.XLOOKUP(DV14,対応表!$B:$B,対応表!$C:$C," ")</f>
        <v xml:space="preserve"> </v>
      </c>
      <c r="DX14" s="7" t="s">
        <v>920</v>
      </c>
      <c r="DY14" s="6" t="str">
        <f>_xlfn.XLOOKUP(DX14,対応表!$B:$B,対応表!$C:$C," ")</f>
        <v xml:space="preserve"> </v>
      </c>
      <c r="DZ14" s="7" t="s">
        <v>921</v>
      </c>
      <c r="EA14" s="6" t="str">
        <f>_xlfn.XLOOKUP(DZ14,対応表!$B:$B,対応表!$C:$C," ")</f>
        <v xml:space="preserve"> </v>
      </c>
      <c r="EB14" s="7" t="s">
        <v>922</v>
      </c>
      <c r="EC14" s="6" t="str">
        <f>_xlfn.XLOOKUP(EB14,対応表!$B:$B,対応表!$C:$C," ")</f>
        <v xml:space="preserve"> </v>
      </c>
      <c r="ED14" s="7" t="s">
        <v>923</v>
      </c>
      <c r="EE14" s="6" t="str">
        <f>_xlfn.XLOOKUP(ED14,対応表!$B:$B,対応表!$C:$C," ")</f>
        <v xml:space="preserve"> </v>
      </c>
      <c r="EF14" s="7" t="s">
        <v>924</v>
      </c>
      <c r="EG14" s="6" t="str">
        <f>_xlfn.XLOOKUP(EF14,対応表!$B:$B,対応表!$C:$C," ")</f>
        <v xml:space="preserve"> </v>
      </c>
      <c r="EH14" s="7" t="s">
        <v>925</v>
      </c>
      <c r="EI14" s="6" t="str">
        <f>_xlfn.XLOOKUP(EH14,対応表!$B:$B,対応表!$C:$C," ")</f>
        <v xml:space="preserve"> </v>
      </c>
      <c r="EJ14" s="7" t="s">
        <v>926</v>
      </c>
      <c r="EK14" s="6" t="str">
        <f>_xlfn.XLOOKUP(EJ14,対応表!$B:$B,対応表!$C:$C," ")</f>
        <v xml:space="preserve"> </v>
      </c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</row>
    <row r="15" spans="1:219" ht="30" customHeight="1" x14ac:dyDescent="0.4">
      <c r="A15" s="9" t="s">
        <v>927</v>
      </c>
      <c r="B15" s="7" t="s">
        <v>928</v>
      </c>
      <c r="C15" s="6" t="str">
        <f>_xlfn.XLOOKUP(B15,対応表!$B:$B,対応表!$C:$C," ")</f>
        <v>か</v>
      </c>
      <c r="D15" s="7" t="s">
        <v>929</v>
      </c>
      <c r="E15" s="22" t="str" cm="1">
        <f t="array" ref="E15">_xlfn.XLOOKUP(D15,対応表!$B:B,対応表!$C:C,"継")</f>
        <v>継?</v>
      </c>
      <c r="F15" s="7" t="s">
        <v>930</v>
      </c>
      <c r="G15" s="6" t="str">
        <f>_xlfn.XLOOKUP(F15,対応表!$B:$B,対応表!$C:$C," ")</f>
        <v>ほ</v>
      </c>
      <c r="H15" s="7" t="s">
        <v>931</v>
      </c>
      <c r="I15" s="6" t="str">
        <f>_xlfn.XLOOKUP(H15,対応表!$B:$B,対応表!$C:$C," ")</f>
        <v xml:space="preserve"> </v>
      </c>
      <c r="J15" s="7" t="s">
        <v>932</v>
      </c>
      <c r="K15" s="6" t="str">
        <f>_xlfn.XLOOKUP(J15,対応表!$B:$B,対応表!$C:$C," ")</f>
        <v xml:space="preserve"> </v>
      </c>
      <c r="L15" s="7" t="s">
        <v>933</v>
      </c>
      <c r="M15" s="6" t="str">
        <f>_xlfn.XLOOKUP(L15,対応表!$B:$B,対応表!$C:$C," ")</f>
        <v>ろ</v>
      </c>
      <c r="N15" s="7" t="s">
        <v>934</v>
      </c>
      <c r="O15" s="6" t="str">
        <f>_xlfn.XLOOKUP(N15,対応表!$B:$B,対応表!$C:$C," ")</f>
        <v xml:space="preserve"> </v>
      </c>
      <c r="P15" s="7" t="s">
        <v>935</v>
      </c>
      <c r="Q15" s="6" t="str">
        <f>_xlfn.XLOOKUP(P15,対応表!$B:$B,対応表!$C:$C," ")</f>
        <v>[亘]?</v>
      </c>
      <c r="R15" s="7" t="s">
        <v>936</v>
      </c>
      <c r="S15" s="6" t="str">
        <f>_xlfn.XLOOKUP(R15,対応表!$B:$B,対応表!$C:$C," ")</f>
        <v xml:space="preserve"> </v>
      </c>
      <c r="T15" s="7" t="s">
        <v>937</v>
      </c>
      <c r="U15" s="6" t="str">
        <f>_xlfn.XLOOKUP(T15,対応表!$B:$B,対応表!$C:$C," ")</f>
        <v>地</v>
      </c>
      <c r="V15" s="7" t="s">
        <v>938</v>
      </c>
      <c r="W15" s="6" t="str">
        <f>_xlfn.XLOOKUP(V15,対応表!$B:$B,対応表!$C:$C," ")</f>
        <v xml:space="preserve"> </v>
      </c>
      <c r="X15" s="7" t="s">
        <v>939</v>
      </c>
      <c r="Y15" s="6" t="str">
        <f>_xlfn.XLOOKUP(X15,対応表!$B:$B,対応表!$C:$C," ")</f>
        <v xml:space="preserve"> </v>
      </c>
      <c r="Z15" s="7" t="s">
        <v>940</v>
      </c>
      <c r="AA15" s="6" t="str">
        <f>_xlfn.XLOOKUP(Z15,対応表!$B:$B,対応表!$C:$C," ")</f>
        <v xml:space="preserve"> </v>
      </c>
      <c r="AB15" s="7" t="s">
        <v>941</v>
      </c>
      <c r="AC15" s="6" t="str">
        <f>_xlfn.XLOOKUP(AB15,対応表!$B:$B,対応表!$C:$C," ")</f>
        <v xml:space="preserve"> </v>
      </c>
      <c r="AD15" s="7" t="s">
        <v>942</v>
      </c>
      <c r="AE15" s="6" t="str">
        <f>_xlfn.XLOOKUP(AD15,対応表!$B:$B,対応表!$C:$C," ")</f>
        <v xml:space="preserve"> </v>
      </c>
      <c r="AF15" s="7" t="s">
        <v>943</v>
      </c>
      <c r="AG15" s="6" t="str">
        <f>_xlfn.XLOOKUP(AF15,対応表!$B:$B,対応表!$C:$C," ")</f>
        <v>て</v>
      </c>
      <c r="AH15" s="7" t="s">
        <v>944</v>
      </c>
      <c r="AI15" s="6" t="str">
        <f>_xlfn.XLOOKUP(AH15,対応表!$B:$B,対応表!$C:$C," ")</f>
        <v xml:space="preserve"> </v>
      </c>
      <c r="AJ15" s="7" t="s">
        <v>945</v>
      </c>
      <c r="AK15" s="6" t="str">
        <f>_xlfn.XLOOKUP(AJ15,対応表!$B:$B,対応表!$C:$C," ")</f>
        <v xml:space="preserve"> </v>
      </c>
      <c r="AL15" s="7" t="s">
        <v>946</v>
      </c>
      <c r="AM15" s="6" t="str">
        <f>_xlfn.XLOOKUP(AL15,対応表!$B:$B,対応表!$C:$C," ")</f>
        <v xml:space="preserve"> </v>
      </c>
      <c r="AN15" s="17" t="s">
        <v>947</v>
      </c>
      <c r="AO15" s="6" t="str">
        <f>_xlfn.XLOOKUP(AN15,対応表!$B:$B,対応表!$C:$C," ")</f>
        <v xml:space="preserve"> </v>
      </c>
      <c r="AP15" s="7" t="s">
        <v>948</v>
      </c>
      <c r="AQ15" s="6" t="str">
        <f>_xlfn.XLOOKUP(AP15,対応表!$B:$B,対応表!$C:$C," ")</f>
        <v xml:space="preserve"> </v>
      </c>
      <c r="AR15" s="7" t="s">
        <v>950</v>
      </c>
      <c r="AS15" s="6" t="str">
        <f>_xlfn.XLOOKUP(AR15,対応表!$B:$B,対応表!$C:$C," ")</f>
        <v xml:space="preserve"> </v>
      </c>
      <c r="AT15" s="17" t="s">
        <v>951</v>
      </c>
      <c r="AU15" s="6" t="str">
        <f>_xlfn.XLOOKUP(AT15,対応表!$B:$B,対応表!$C:$C," ")</f>
        <v xml:space="preserve"> </v>
      </c>
      <c r="AV15" s="7" t="s">
        <v>952</v>
      </c>
      <c r="AW15" s="6" t="str">
        <f>_xlfn.XLOOKUP(AV15,対応表!$B:$B,対応表!$C:$C," ")</f>
        <v xml:space="preserve"> </v>
      </c>
      <c r="AX15" s="7" t="s">
        <v>953</v>
      </c>
      <c r="AY15" s="6" t="str">
        <f>_xlfn.XLOOKUP(AX15,対応表!$B:$B,対応表!$C:$C," ")</f>
        <v>ゃ</v>
      </c>
      <c r="AZ15" s="7" t="s">
        <v>954</v>
      </c>
      <c r="BA15" s="6" t="str">
        <f>_xlfn.XLOOKUP(AZ15,対応表!$B:$B,対応表!$C:$C," ")</f>
        <v xml:space="preserve"> </v>
      </c>
      <c r="BB15" s="17" t="s">
        <v>955</v>
      </c>
      <c r="BC15" s="6" t="str">
        <f>_xlfn.XLOOKUP(BB15,対応表!$B:$B,対応表!$C:$C," ")</f>
        <v xml:space="preserve"> </v>
      </c>
      <c r="BD15" s="7" t="s">
        <v>956</v>
      </c>
      <c r="BE15" s="6" t="str">
        <f>_xlfn.XLOOKUP(BD15,対応表!$B:$B,対応表!$C:$C," ")</f>
        <v>ぺ</v>
      </c>
      <c r="BF15" s="7" t="s">
        <v>957</v>
      </c>
      <c r="BG15" s="6" t="str">
        <f>_xlfn.XLOOKUP(BF15,対応表!$B:$B,対応表!$C:$C," ")</f>
        <v xml:space="preserve"> </v>
      </c>
      <c r="BH15" s="7" t="s">
        <v>958</v>
      </c>
      <c r="BI15" s="6" t="str">
        <f>_xlfn.XLOOKUP(BH15,対応表!$B:$B,対応表!$C:$C," ")</f>
        <v xml:space="preserve"> </v>
      </c>
      <c r="BJ15" s="7" t="s">
        <v>959</v>
      </c>
      <c r="BK15" s="6" t="str">
        <f>_xlfn.XLOOKUP(BJ15,対応表!$B:$B,対応表!$C:$C," ")</f>
        <v xml:space="preserve"> </v>
      </c>
      <c r="BL15" s="7" t="s">
        <v>960</v>
      </c>
      <c r="BM15" s="6" t="str">
        <f>_xlfn.XLOOKUP(BL15,対応表!$B:$B,対応表!$C:$C," ")</f>
        <v xml:space="preserve"> </v>
      </c>
      <c r="BN15" s="7" t="s">
        <v>961</v>
      </c>
      <c r="BO15" s="6" t="str">
        <f>_xlfn.XLOOKUP(BN15,対応表!$B:$B,対応表!$C:$C," ")</f>
        <v xml:space="preserve"> </v>
      </c>
      <c r="BP15" s="7" t="s">
        <v>962</v>
      </c>
      <c r="BQ15" s="6" t="str">
        <f>_xlfn.XLOOKUP(BP15,対応表!$B:$B,対応表!$C:$C," ")</f>
        <v>手</v>
      </c>
      <c r="BR15" s="7" t="s">
        <v>963</v>
      </c>
      <c r="BS15" s="6" t="str">
        <f>_xlfn.XLOOKUP(BR15,対応表!$B:$B,対応表!$C:$C," ")</f>
        <v xml:space="preserve"> </v>
      </c>
      <c r="BT15" s="7" t="s">
        <v>964</v>
      </c>
      <c r="BU15" s="6" t="str">
        <f>_xlfn.XLOOKUP(BT15,対応表!$B:$B,対応表!$C:$C," ")</f>
        <v xml:space="preserve"> </v>
      </c>
      <c r="BV15" s="7" t="s">
        <v>965</v>
      </c>
      <c r="BW15" s="6" t="str">
        <f>_xlfn.XLOOKUP(BV15,対応表!$B:$B,対応表!$C:$C," ")</f>
        <v xml:space="preserve"> </v>
      </c>
      <c r="BX15" s="7" t="s">
        <v>966</v>
      </c>
      <c r="BY15" s="6" t="str">
        <f>_xlfn.XLOOKUP(BX15,対応表!$B:$B,対応表!$C:$C," ")</f>
        <v xml:space="preserve"> </v>
      </c>
      <c r="BZ15" s="7" t="s">
        <v>967</v>
      </c>
      <c r="CA15" s="6" t="str">
        <f>_xlfn.XLOOKUP(BZ15,対応表!$B:$B,対応表!$C:$C," ")</f>
        <v xml:space="preserve"> </v>
      </c>
      <c r="CB15" s="7" t="s">
        <v>968</v>
      </c>
      <c r="CC15" s="6" t="str">
        <f>_xlfn.XLOOKUP(CB15,対応表!$B:$B,対応表!$C:$C," ")</f>
        <v xml:space="preserve"> </v>
      </c>
      <c r="CD15" s="7" t="s">
        <v>969</v>
      </c>
      <c r="CE15" s="6" t="str">
        <f>_xlfn.XLOOKUP(CD15,対応表!$B:$B,対応表!$C:$C," ")</f>
        <v xml:space="preserve"> </v>
      </c>
      <c r="CF15" s="7" t="s">
        <v>970</v>
      </c>
      <c r="CG15" s="6" t="str">
        <f>_xlfn.XLOOKUP(CF15,対応表!$B:$B,対応表!$C:$C,"在")</f>
        <v>在</v>
      </c>
      <c r="CH15" s="7" t="s">
        <v>971</v>
      </c>
      <c r="CI15" s="6" t="str">
        <f>_xlfn.XLOOKUP(CH15,対応表!$B:$B,対応表!$C:$C," ")</f>
        <v xml:space="preserve"> </v>
      </c>
      <c r="CJ15" s="7" t="s">
        <v>972</v>
      </c>
      <c r="CK15" s="6" t="str">
        <f>_xlfn.XLOOKUP(CJ15,対応表!$B:$B,対応表!$C:$C," ")</f>
        <v xml:space="preserve"> </v>
      </c>
      <c r="CL15" s="7" t="s">
        <v>973</v>
      </c>
      <c r="CM15" s="6" t="str">
        <f>_xlfn.XLOOKUP(CL15,対応表!$B:$B,対応表!$C:$C," ")</f>
        <v xml:space="preserve"> </v>
      </c>
      <c r="CN15" s="7" t="s">
        <v>974</v>
      </c>
      <c r="CO15" s="6" t="str">
        <f>_xlfn.XLOOKUP(CN15,対応表!$B:$B,対応表!$C:$C," ")</f>
        <v xml:space="preserve"> </v>
      </c>
      <c r="CP15" s="7" t="s">
        <v>975</v>
      </c>
      <c r="CQ15" s="6" t="str">
        <f>_xlfn.XLOOKUP(CP15,対応表!$B:$B,対応表!$C:$C," ")</f>
        <v>切</v>
      </c>
      <c r="CR15" s="7" t="s">
        <v>976</v>
      </c>
      <c r="CS15" s="6" t="str">
        <f>_xlfn.XLOOKUP(CR15,対応表!$B:$B,対応表!$C:$C," ")</f>
        <v xml:space="preserve"> </v>
      </c>
      <c r="CT15" s="7" t="s">
        <v>977</v>
      </c>
      <c r="CU15" s="6" t="str">
        <f>_xlfn.XLOOKUP(CT15,対応表!$B:$B,対応表!$C:$C," ")</f>
        <v xml:space="preserve"> </v>
      </c>
      <c r="CV15" s="7" t="s">
        <v>978</v>
      </c>
      <c r="CW15" s="6" t="str">
        <f>_xlfn.XLOOKUP(CV15,対応表!$B:$B,対応表!$C:$C," ")</f>
        <v xml:space="preserve"> </v>
      </c>
      <c r="CX15" s="7" t="s">
        <v>979</v>
      </c>
      <c r="CY15" s="6" t="str">
        <f>_xlfn.XLOOKUP(CX15,対応表!$B:$B,対応表!$C:$C," ")</f>
        <v xml:space="preserve"> </v>
      </c>
      <c r="CZ15" s="7" t="s">
        <v>980</v>
      </c>
      <c r="DA15" s="6" t="str">
        <f>_xlfn.XLOOKUP(CZ15,対応表!$B:$B,対応表!$C:$C," ")</f>
        <v xml:space="preserve"> </v>
      </c>
      <c r="DB15" s="7" t="s">
        <v>981</v>
      </c>
      <c r="DC15" s="6" t="str">
        <f>_xlfn.XLOOKUP(DB15,対応表!$B:$B,対応表!$C:$C," ")</f>
        <v xml:space="preserve"> </v>
      </c>
      <c r="DD15" s="7" t="s">
        <v>982</v>
      </c>
      <c r="DE15" s="6" t="str">
        <f>_xlfn.XLOOKUP(DD15,対応表!$B:$B,対応表!$C:$C," ")</f>
        <v xml:space="preserve"> </v>
      </c>
      <c r="DF15" s="7" t="s">
        <v>983</v>
      </c>
      <c r="DG15" s="6" t="str">
        <f>_xlfn.XLOOKUP(DF15,対応表!$B:$B,対応表!$C:$C," ")</f>
        <v xml:space="preserve"> </v>
      </c>
      <c r="DH15" s="7" t="s">
        <v>984</v>
      </c>
      <c r="DI15" s="6" t="str">
        <f>_xlfn.XLOOKUP(DH15,対応表!$B:$B,対応表!$C:$C," ")</f>
        <v xml:space="preserve"> </v>
      </c>
      <c r="DJ15" s="7" t="s">
        <v>985</v>
      </c>
      <c r="DK15" s="6" t="str">
        <f>_xlfn.XLOOKUP(DJ15,対応表!$B:$B,対応表!$C:$C," ")</f>
        <v>初</v>
      </c>
      <c r="DL15" s="7" t="s">
        <v>986</v>
      </c>
      <c r="DM15" s="6" t="str">
        <f>_xlfn.XLOOKUP(DL15,対応表!$B:$B,対応表!$C:$C," ")</f>
        <v xml:space="preserve"> </v>
      </c>
      <c r="DN15" s="7" t="s">
        <v>987</v>
      </c>
      <c r="DO15" s="6" t="str">
        <f>_xlfn.XLOOKUP(DN15,対応表!$B:$B,対応表!$C:$C," ")</f>
        <v xml:space="preserve"> </v>
      </c>
      <c r="DP15" s="7" t="s">
        <v>988</v>
      </c>
      <c r="DQ15" s="6" t="str">
        <f>_xlfn.XLOOKUP(DP15,対応表!$B:$B,対応表!$C:$C," ")</f>
        <v xml:space="preserve"> </v>
      </c>
      <c r="DR15" s="7" t="s">
        <v>989</v>
      </c>
      <c r="DS15" s="6" t="str">
        <f>_xlfn.XLOOKUP(DR15,対応表!$B:$B,対応表!$C:$C," ")</f>
        <v xml:space="preserve"> </v>
      </c>
      <c r="DT15" s="7" t="s">
        <v>990</v>
      </c>
      <c r="DU15" s="6" t="str">
        <f>_xlfn.XLOOKUP(DT15,対応表!$B:$B,対応表!$C:$C," ")</f>
        <v xml:space="preserve"> </v>
      </c>
      <c r="DV15" s="7" t="s">
        <v>991</v>
      </c>
      <c r="DW15" s="6" t="str">
        <f>_xlfn.XLOOKUP(DV15,対応表!$B:$B,対応表!$C:$C," ")</f>
        <v xml:space="preserve"> </v>
      </c>
      <c r="DX15" s="7" t="s">
        <v>992</v>
      </c>
      <c r="DY15" s="6" t="str">
        <f>_xlfn.XLOOKUP(DX15,対応表!$B:$B,対応表!$C:$C," ")</f>
        <v xml:space="preserve"> </v>
      </c>
      <c r="DZ15" s="7" t="s">
        <v>993</v>
      </c>
      <c r="EA15" s="6" t="str">
        <f>_xlfn.XLOOKUP(DZ15,対応表!$B:$B,対応表!$C:$C," ")</f>
        <v xml:space="preserve"> </v>
      </c>
      <c r="EB15" s="7" t="s">
        <v>994</v>
      </c>
      <c r="EC15" s="6" t="str">
        <f>_xlfn.XLOOKUP(EB15,対応表!$B:$B,対応表!$C:$C," ")</f>
        <v xml:space="preserve"> </v>
      </c>
      <c r="ED15" s="7" t="s">
        <v>995</v>
      </c>
      <c r="EE15" s="6" t="str">
        <f>_xlfn.XLOOKUP(ED15,対応表!$B:$B,対応表!$C:$C," ")</f>
        <v xml:space="preserve"> </v>
      </c>
      <c r="EF15" s="7" t="s">
        <v>996</v>
      </c>
      <c r="EG15" s="6" t="str">
        <f>_xlfn.XLOOKUP(EF15,対応表!$B:$B,対応表!$C:$C," ")</f>
        <v xml:space="preserve"> </v>
      </c>
      <c r="EH15" s="7" t="s">
        <v>997</v>
      </c>
      <c r="EI15" s="6" t="str">
        <f>_xlfn.XLOOKUP(EH15,対応表!$B:$B,対応表!$C:$C," ")</f>
        <v xml:space="preserve"> </v>
      </c>
      <c r="EJ15" s="7" t="s">
        <v>998</v>
      </c>
      <c r="EK15" s="6" t="str">
        <f>_xlfn.XLOOKUP(EJ15,対応表!$B:$B,対応表!$C:$C," ")</f>
        <v xml:space="preserve"> </v>
      </c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</row>
    <row r="16" spans="1:219" ht="30" customHeight="1" x14ac:dyDescent="0.4">
      <c r="A16" s="9" t="s">
        <v>999</v>
      </c>
      <c r="B16" s="7" t="s">
        <v>1000</v>
      </c>
      <c r="C16" s="6" t="str">
        <f>_xlfn.XLOOKUP(B16,対応表!$B:$B,対応表!$C:$C," ")</f>
        <v>な</v>
      </c>
      <c r="D16" s="7" t="s">
        <v>1001</v>
      </c>
      <c r="E16" s="6" t="str" cm="1">
        <f t="array" ref="E16">_xlfn.XLOOKUP(D16,対応表!$B:B,対応表!$C:C," ")</f>
        <v>が</v>
      </c>
      <c r="F16" s="7" t="s">
        <v>1002</v>
      </c>
      <c r="G16" s="6" t="str">
        <f>_xlfn.XLOOKUP(F16,対応表!$B:$B,対応表!$C:$C," ")</f>
        <v xml:space="preserve"> </v>
      </c>
      <c r="H16" s="7" t="s">
        <v>1003</v>
      </c>
      <c r="I16" s="6" t="str">
        <f>_xlfn.XLOOKUP(H16,対応表!$B:$B,対応表!$C:$C," ")</f>
        <v>げ</v>
      </c>
      <c r="J16" s="7" t="s">
        <v>1004</v>
      </c>
      <c r="K16" s="6" t="str">
        <f>_xlfn.XLOOKUP(J16,対応表!$B:$B,対応表!$C:$C," ")</f>
        <v xml:space="preserve"> </v>
      </c>
      <c r="L16" s="7" t="s">
        <v>1005</v>
      </c>
      <c r="M16" s="6" t="str">
        <f>_xlfn.XLOOKUP(L16,対応表!$B:$B,対応表!$C:$C," ")</f>
        <v>う</v>
      </c>
      <c r="N16" s="7" t="s">
        <v>1006</v>
      </c>
      <c r="O16" s="6" t="str">
        <f>_xlfn.XLOOKUP(N16,対応表!$B:$B,対応表!$C:$C," ")</f>
        <v xml:space="preserve"> </v>
      </c>
      <c r="P16" s="7" t="s">
        <v>1007</v>
      </c>
      <c r="Q16" s="6" t="str">
        <f>_xlfn.XLOOKUP(P16,対応表!$B:$B,対応表!$C:$C," ")</f>
        <v xml:space="preserve"> </v>
      </c>
      <c r="R16" s="7" t="s">
        <v>1008</v>
      </c>
      <c r="S16" s="6" t="str">
        <f>_xlfn.XLOOKUP(R16,対応表!$B:$B,対応表!$C:$C," ")</f>
        <v xml:space="preserve"> </v>
      </c>
      <c r="T16" s="7" t="s">
        <v>1009</v>
      </c>
      <c r="U16" s="6" t="str">
        <f>_xlfn.XLOOKUP(T16,対応表!$B:$B,対応表!$C:$C," ")</f>
        <v>へ</v>
      </c>
      <c r="V16" s="7" t="s">
        <v>1010</v>
      </c>
      <c r="W16" s="6" t="str">
        <f>_xlfn.XLOOKUP(V16,対応表!$B:$B,対応表!$C:$C," ")</f>
        <v xml:space="preserve"> </v>
      </c>
      <c r="X16" s="7" t="s">
        <v>1011</v>
      </c>
      <c r="Y16" s="6" t="str">
        <f>_xlfn.XLOOKUP(X16,対応表!$B:$B,対応表!$C:$C," ")</f>
        <v>親?</v>
      </c>
      <c r="Z16" s="7" t="s">
        <v>1012</v>
      </c>
      <c r="AA16" s="6" t="str">
        <f>_xlfn.XLOOKUP(Z16,対応表!$B:$B,対応表!$C:$C," ")</f>
        <v xml:space="preserve"> </v>
      </c>
      <c r="AB16" s="7" t="s">
        <v>1013</v>
      </c>
      <c r="AC16" s="6" t="str">
        <f>_xlfn.XLOOKUP(AB16,対応表!$B:$B,対応表!$C:$C," ")</f>
        <v xml:space="preserve"> </v>
      </c>
      <c r="AD16" s="7" t="s">
        <v>1014</v>
      </c>
      <c r="AE16" s="6" t="str">
        <f>_xlfn.XLOOKUP(AD16,対応表!$B:$B,対応表!$C:$C," ")</f>
        <v>よ</v>
      </c>
      <c r="AF16" s="7" t="s">
        <v>1015</v>
      </c>
      <c r="AG16" s="6" t="str">
        <f>_xlfn.XLOOKUP(AF16,対応表!$B:$B,対応表!$C:$C," ")</f>
        <v xml:space="preserve"> </v>
      </c>
      <c r="AH16" s="7" t="s">
        <v>1016</v>
      </c>
      <c r="AI16" s="6" t="str">
        <f>_xlfn.XLOOKUP(AH16,対応表!$B:$B,対応表!$C:$C," ")</f>
        <v xml:space="preserve"> </v>
      </c>
      <c r="AJ16" s="7" t="s">
        <v>1017</v>
      </c>
      <c r="AK16" s="6" t="str">
        <f>_xlfn.XLOOKUP(AJ16,対応表!$B:$B,対応表!$C:$C," ")</f>
        <v xml:space="preserve"> </v>
      </c>
      <c r="AL16" s="7" t="s">
        <v>1018</v>
      </c>
      <c r="AM16" s="6" t="str">
        <f>_xlfn.XLOOKUP(AL16,対応表!$B:$B,対応表!$C:$C," ")</f>
        <v xml:space="preserve"> </v>
      </c>
      <c r="AN16" s="7" t="s">
        <v>1019</v>
      </c>
      <c r="AO16" s="6" t="str">
        <f>_xlfn.XLOOKUP(AN16,対応表!$B:$B,対応表!$C:$C," ")</f>
        <v xml:space="preserve"> </v>
      </c>
      <c r="AP16" s="7" t="s">
        <v>1020</v>
      </c>
      <c r="AQ16" s="6" t="str">
        <f>_xlfn.XLOOKUP(AP16,対応表!$B:$B,対応表!$C:$C," ")</f>
        <v xml:space="preserve"> </v>
      </c>
      <c r="AR16" s="7" t="s">
        <v>1021</v>
      </c>
      <c r="AS16" s="6" t="str">
        <f>_xlfn.XLOOKUP(AR16,対応表!$B:$B,対応表!$C:$C," ")</f>
        <v>難?</v>
      </c>
      <c r="AT16" s="7" t="s">
        <v>1022</v>
      </c>
      <c r="AU16" s="6" t="str">
        <f>_xlfn.XLOOKUP(AT16,対応表!$B:$B,対応表!$C:$C," ")</f>
        <v xml:space="preserve"> </v>
      </c>
      <c r="AV16" s="7" t="s">
        <v>1023</v>
      </c>
      <c r="AW16" s="6" t="str">
        <f>_xlfn.XLOOKUP(AV16,対応表!$B:$B,対応表!$C:$C," ")</f>
        <v xml:space="preserve"> </v>
      </c>
      <c r="AX16" s="7" t="s">
        <v>1024</v>
      </c>
      <c r="AY16" s="6" t="str">
        <f>_xlfn.XLOOKUP(AX16,対応表!$B:$B,対応表!$C:$C," ")</f>
        <v xml:space="preserve"> </v>
      </c>
      <c r="AZ16" s="7" t="s">
        <v>1025</v>
      </c>
      <c r="BA16" s="6" t="str">
        <f>_xlfn.XLOOKUP(AZ16,対応表!$B:$B,対応表!$C:$C," ")</f>
        <v xml:space="preserve"> </v>
      </c>
      <c r="BB16" s="7" t="s">
        <v>1026</v>
      </c>
      <c r="BC16" s="6" t="str">
        <f>_xlfn.XLOOKUP(BB16,対応表!$B:$B,対応表!$C:$C," ")</f>
        <v xml:space="preserve"> </v>
      </c>
      <c r="BD16" s="7" t="s">
        <v>1027</v>
      </c>
      <c r="BE16" s="6" t="str">
        <f>_xlfn.XLOOKUP(BD16,対応表!$B:$B,対応表!$C:$C," ")</f>
        <v xml:space="preserve"> </v>
      </c>
      <c r="BF16" s="7" t="s">
        <v>1028</v>
      </c>
      <c r="BG16" s="6" t="str">
        <f>_xlfn.XLOOKUP(BF16,対応表!$B:$B,対応表!$C:$C," ")</f>
        <v>対</v>
      </c>
      <c r="BH16" s="7" t="s">
        <v>1029</v>
      </c>
      <c r="BI16" s="6" t="str">
        <f>_xlfn.XLOOKUP(BH16,対応表!$B:$B,対応表!$C:$C," ")</f>
        <v xml:space="preserve"> </v>
      </c>
      <c r="BJ16" s="7" t="s">
        <v>1030</v>
      </c>
      <c r="BK16" s="6" t="str">
        <f>_xlfn.XLOOKUP(BJ16,対応表!$B:$B,対応表!$C:$C," ")</f>
        <v xml:space="preserve"> </v>
      </c>
      <c r="BL16" s="7" t="s">
        <v>1031</v>
      </c>
      <c r="BM16" s="6" t="str">
        <f>_xlfn.XLOOKUP(BL16,対応表!$B:$B,対応表!$C:$C," ")</f>
        <v xml:space="preserve"> </v>
      </c>
      <c r="BN16" s="7" t="s">
        <v>961</v>
      </c>
      <c r="BO16" s="6" t="str">
        <f>_xlfn.XLOOKUP(BN16,対応表!$B:$B,対応表!$C:$C," ")</f>
        <v xml:space="preserve"> </v>
      </c>
      <c r="BP16" s="7" t="s">
        <v>1032</v>
      </c>
      <c r="BQ16" s="6" t="str">
        <f>_xlfn.XLOOKUP(BP16,対応表!$B:$B,対応表!$C:$C," ")</f>
        <v xml:space="preserve"> </v>
      </c>
      <c r="BR16" s="7" t="s">
        <v>1033</v>
      </c>
      <c r="BS16" s="6" t="str">
        <f>_xlfn.XLOOKUP(BR16,対応表!$B:$B,対応表!$C:$C," ")</f>
        <v xml:space="preserve"> </v>
      </c>
      <c r="BT16" s="7" t="s">
        <v>1034</v>
      </c>
      <c r="BU16" s="6" t="str">
        <f>_xlfn.XLOOKUP(BT16,対応表!$B:$B,対応表!$C:$C," ")</f>
        <v xml:space="preserve"> </v>
      </c>
      <c r="BV16" s="17" t="s">
        <v>1035</v>
      </c>
      <c r="BW16" s="6" t="str">
        <f>_xlfn.XLOOKUP(BV16,対応表!$B:$B,対応表!$C:$C," ")</f>
        <v xml:space="preserve"> </v>
      </c>
      <c r="BX16" s="7" t="s">
        <v>1036</v>
      </c>
      <c r="BY16" s="6" t="str">
        <f>_xlfn.XLOOKUP(BX16,対応表!$B:$B,対応表!$C:$C," ")</f>
        <v xml:space="preserve"> </v>
      </c>
      <c r="BZ16" s="7" t="s">
        <v>1037</v>
      </c>
      <c r="CA16" s="6" t="str">
        <f>_xlfn.XLOOKUP(BZ16,対応表!$B:$B,対応表!$C:$C," ")</f>
        <v xml:space="preserve"> </v>
      </c>
      <c r="CB16" s="7" t="s">
        <v>1038</v>
      </c>
      <c r="CC16" s="6" t="str">
        <f>_xlfn.XLOOKUP(CB16,対応表!$B:$B,対応表!$C:$C," ")</f>
        <v xml:space="preserve"> </v>
      </c>
      <c r="CD16" s="7" t="s">
        <v>1039</v>
      </c>
      <c r="CE16" s="6" t="str">
        <f>_xlfn.XLOOKUP(CD16,対応表!$B:$B,対応表!$C:$C," ")</f>
        <v xml:space="preserve"> </v>
      </c>
      <c r="CF16" s="17" t="s">
        <v>1040</v>
      </c>
      <c r="CG16" s="6" t="str">
        <f>_xlfn.XLOOKUP(CF16,対応表!$B:$B,対応表!$C:$C," ")</f>
        <v xml:space="preserve"> </v>
      </c>
      <c r="CH16" s="7" t="s">
        <v>1041</v>
      </c>
      <c r="CI16" s="6" t="str">
        <f>_xlfn.XLOOKUP(CH16,対応表!$B:$B,対応表!$C:$C," ")</f>
        <v xml:space="preserve"> </v>
      </c>
      <c r="CJ16" s="7" t="s">
        <v>1042</v>
      </c>
      <c r="CK16" s="6" t="str">
        <f>_xlfn.XLOOKUP(CJ16,対応表!$B:$B,対応表!$C:$C," ")</f>
        <v xml:space="preserve"> </v>
      </c>
      <c r="CL16" s="7" t="s">
        <v>1043</v>
      </c>
      <c r="CM16" s="6" t="str">
        <f>_xlfn.XLOOKUP(CL16,対応表!$B:$B,対応表!$C:$C," ")</f>
        <v xml:space="preserve"> </v>
      </c>
      <c r="CN16" s="17" t="s">
        <v>1044</v>
      </c>
      <c r="CO16" s="6" t="str">
        <f>_xlfn.XLOOKUP(CN16,対応表!$B:$B,対応表!$C:$C," ")</f>
        <v xml:space="preserve"> </v>
      </c>
      <c r="CP16" s="7" t="s">
        <v>1045</v>
      </c>
      <c r="CQ16" s="6" t="str">
        <f>_xlfn.XLOOKUP(CP16,対応表!$B:$B,対応表!$C:$C,"に")</f>
        <v>に</v>
      </c>
      <c r="CR16" s="7" t="s">
        <v>1046</v>
      </c>
      <c r="CS16" s="6" t="str">
        <f>_xlfn.XLOOKUP(CR16,対応表!$B:$B,対応表!$C:$C," ")</f>
        <v>苦?</v>
      </c>
      <c r="CT16" s="7" t="s">
        <v>1047</v>
      </c>
      <c r="CU16" s="6" t="str">
        <f>_xlfn.XLOOKUP(CT16,対応表!$B:$B,対応表!$C:$C," ")</f>
        <v xml:space="preserve"> </v>
      </c>
      <c r="CV16" s="7" t="s">
        <v>1048</v>
      </c>
      <c r="CW16" s="6" t="str">
        <f>_xlfn.XLOOKUP(CV16,対応表!$B:$B,対応表!$C:$C," ")</f>
        <v xml:space="preserve"> </v>
      </c>
      <c r="CX16" s="7" t="s">
        <v>1049</v>
      </c>
      <c r="CY16" s="6" t="str">
        <f>_xlfn.XLOOKUP(CX16,対応表!$B:$B,対応表!$C:$C," ")</f>
        <v xml:space="preserve"> </v>
      </c>
      <c r="CZ16" s="7" t="s">
        <v>1050</v>
      </c>
      <c r="DA16" s="6" t="str">
        <f>_xlfn.XLOOKUP(CZ16,対応表!$B:$B,対応表!$C:$C," ")</f>
        <v xml:space="preserve"> </v>
      </c>
      <c r="DB16" s="7" t="s">
        <v>1051</v>
      </c>
      <c r="DC16" s="6" t="str">
        <f>_xlfn.XLOOKUP(DB16,対応表!$B:$B,対応表!$C:$C," ")</f>
        <v xml:space="preserve"> </v>
      </c>
      <c r="DD16" s="7" t="s">
        <v>1052</v>
      </c>
      <c r="DE16" s="6" t="str">
        <f>_xlfn.XLOOKUP(DD16,対応表!$B:$B,対応表!$C:$C," ")</f>
        <v>罪</v>
      </c>
      <c r="DF16" s="7" t="s">
        <v>1053</v>
      </c>
      <c r="DG16" s="6" t="str">
        <f>_xlfn.XLOOKUP(DF16,対応表!$B:$B,対応表!$C:$C," ")</f>
        <v xml:space="preserve"> </v>
      </c>
      <c r="DH16" s="7" t="s">
        <v>1054</v>
      </c>
      <c r="DI16" s="6" t="str">
        <f>_xlfn.XLOOKUP(DH16,対応表!$B:$B,対応表!$C:$C," ")</f>
        <v>味</v>
      </c>
      <c r="DJ16" s="7" t="s">
        <v>1055</v>
      </c>
      <c r="DK16" s="6" t="str">
        <f>_xlfn.XLOOKUP(DJ16,対応表!$B:$B,対応表!$C:$C," ")</f>
        <v xml:space="preserve"> </v>
      </c>
      <c r="DL16" s="7" t="s">
        <v>1056</v>
      </c>
      <c r="DM16" s="6" t="str">
        <f>_xlfn.XLOOKUP(DL16,対応表!$B:$B,対応表!$C:$C," ")</f>
        <v xml:space="preserve"> </v>
      </c>
      <c r="DN16" s="7" t="s">
        <v>1057</v>
      </c>
      <c r="DO16" s="6" t="str">
        <f>_xlfn.XLOOKUP(DN16,対応表!$B:$B,対応表!$C:$C," ")</f>
        <v xml:space="preserve"> </v>
      </c>
      <c r="DP16" s="7" t="s">
        <v>1058</v>
      </c>
      <c r="DQ16" s="6" t="str">
        <f>_xlfn.XLOOKUP(DP16,対応表!$B:$B,対応表!$C:$C," ")</f>
        <v xml:space="preserve"> </v>
      </c>
      <c r="DR16" s="7" t="s">
        <v>1059</v>
      </c>
      <c r="DS16" s="6" t="str">
        <f>_xlfn.XLOOKUP(DR16,対応表!$B:$B,対応表!$C:$C," ")</f>
        <v xml:space="preserve"> </v>
      </c>
      <c r="DT16" s="7" t="s">
        <v>1060</v>
      </c>
      <c r="DU16" s="6" t="str">
        <f>_xlfn.XLOOKUP(DT16,対応表!$B:$B,対応表!$C:$C," ")</f>
        <v xml:space="preserve"> </v>
      </c>
      <c r="DV16" s="7" t="s">
        <v>1061</v>
      </c>
      <c r="DW16" s="6" t="str">
        <f>_xlfn.XLOOKUP(DV16,対応表!$B:$B,対応表!$C:$C," ")</f>
        <v xml:space="preserve"> </v>
      </c>
      <c r="DX16" s="7" t="s">
        <v>1062</v>
      </c>
      <c r="DY16" s="6" t="str">
        <f>_xlfn.XLOOKUP(DX16,対応表!$B:$B,対応表!$C:$C," ")</f>
        <v xml:space="preserve"> </v>
      </c>
      <c r="DZ16" s="7" t="s">
        <v>1063</v>
      </c>
      <c r="EA16" s="6" t="str">
        <f>_xlfn.XLOOKUP(DZ16,対応表!$B:$B,対応表!$C:$C," ")</f>
        <v xml:space="preserve"> </v>
      </c>
      <c r="EB16" s="7" t="s">
        <v>1064</v>
      </c>
      <c r="EC16" s="6" t="str">
        <f>_xlfn.XLOOKUP(EB16,対応表!$B:$B,対応表!$C:$C," ")</f>
        <v xml:space="preserve"> </v>
      </c>
      <c r="ED16" s="7" t="s">
        <v>1065</v>
      </c>
      <c r="EE16" s="6" t="str">
        <f>_xlfn.XLOOKUP(ED16,対応表!$B:$B,対応表!$C:$C," ")</f>
        <v>備</v>
      </c>
      <c r="EF16" s="7" t="s">
        <v>1066</v>
      </c>
      <c r="EG16" s="6" t="str">
        <f>_xlfn.XLOOKUP(EF16,対応表!$B:$B,対応表!$C:$C," ")</f>
        <v xml:space="preserve"> </v>
      </c>
      <c r="EH16" s="7" t="s">
        <v>1067</v>
      </c>
      <c r="EI16" s="6" t="str">
        <f>_xlfn.XLOOKUP(EH16,対応表!$B:$B,対応表!$C:$C," ")</f>
        <v xml:space="preserve"> </v>
      </c>
      <c r="EJ16" s="7" t="s">
        <v>1068</v>
      </c>
      <c r="EK16" s="6" t="str">
        <f>_xlfn.XLOOKUP(EJ16,対応表!$B:$B,対応表!$C:$C," ")</f>
        <v xml:space="preserve"> </v>
      </c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</row>
    <row r="17" spans="1:160" ht="30" customHeight="1" x14ac:dyDescent="0.4">
      <c r="A17" s="9" t="s">
        <v>1069</v>
      </c>
      <c r="B17" s="7" t="s">
        <v>1070</v>
      </c>
      <c r="C17" s="6" t="str">
        <f>_xlfn.XLOOKUP(B17,対応表!$B:$B,対応表!$C:$C," ")</f>
        <v>場</v>
      </c>
      <c r="D17" s="7" t="s">
        <v>1071</v>
      </c>
      <c r="E17" s="6" t="str" cm="1">
        <f t="array" ref="E17">_xlfn.XLOOKUP(D17,対応表!$B:B,対応表!$C:C," ")</f>
        <v>れ</v>
      </c>
      <c r="F17" s="7" t="s">
        <v>1072</v>
      </c>
      <c r="G17" s="6" t="str">
        <f>_xlfn.XLOOKUP(F17,対応表!$B:$B,対応表!$C:$C," ")</f>
        <v xml:space="preserve"> </v>
      </c>
      <c r="H17" s="7" t="s">
        <v>1073</v>
      </c>
      <c r="I17" s="6" t="str">
        <f>_xlfn.XLOOKUP(H17,対応表!$B:$B,対応表!$C:$C,"隅")</f>
        <v>隅</v>
      </c>
      <c r="J17" s="7" t="s">
        <v>1074</v>
      </c>
      <c r="K17" s="6" t="str">
        <f>_xlfn.XLOOKUP(J17,対応表!$B:$B,対応表!$C:$C," ")</f>
        <v xml:space="preserve"> </v>
      </c>
      <c r="L17" s="7" t="s">
        <v>1075</v>
      </c>
      <c r="M17" s="6" t="str">
        <f>_xlfn.XLOOKUP(L17,対応表!$B:$B,対応表!$C:$C,"。")</f>
        <v>。</v>
      </c>
      <c r="N17" s="7" t="s">
        <v>1076</v>
      </c>
      <c r="O17" s="6" t="str">
        <f>_xlfn.XLOOKUP(N17,対応表!$B:$B,対応表!$C:$C," ")</f>
        <v>急</v>
      </c>
      <c r="P17" s="7" t="s">
        <v>1077</v>
      </c>
      <c r="Q17" s="6" t="str">
        <f>_xlfn.XLOOKUP(P17,対応表!$B:$B,対応表!$C:$C," ")</f>
        <v xml:space="preserve"> </v>
      </c>
      <c r="R17" s="7" t="s">
        <v>1078</v>
      </c>
      <c r="S17" s="6" t="str">
        <f>_xlfn.XLOOKUP(R17,対応表!$B:$B,対応表!$C:$C," ")</f>
        <v xml:space="preserve"> </v>
      </c>
      <c r="T17" s="7" t="s">
        <v>1079</v>
      </c>
      <c r="U17" s="6" t="str">
        <f>_xlfn.XLOOKUP(T17,対応表!$B:$B,対応表!$C:$C," ")</f>
        <v>消?</v>
      </c>
      <c r="V17" s="7" t="s">
        <v>1080</v>
      </c>
      <c r="W17" s="6" t="str">
        <f>_xlfn.XLOOKUP(V17,対応表!$B:$B,対応表!$C:$C," ")</f>
        <v xml:space="preserve"> </v>
      </c>
      <c r="X17" s="7" t="s">
        <v>1081</v>
      </c>
      <c r="Y17" s="6" t="str">
        <f>_xlfn.XLOOKUP(X17,対応表!$B:$B,対応表!$C:$C," ")</f>
        <v xml:space="preserve"> </v>
      </c>
      <c r="Z17" s="7" t="s">
        <v>1082</v>
      </c>
      <c r="AA17" s="6" t="str">
        <f>_xlfn.XLOOKUP(Z17,対応表!$B:$B,対応表!$C:$C," ")</f>
        <v xml:space="preserve"> </v>
      </c>
      <c r="AB17" s="7" t="s">
        <v>1083</v>
      </c>
      <c r="AC17" s="6" t="str">
        <f>_xlfn.XLOOKUP(AB17,対応表!$B:$B,対応表!$C:$C," ")</f>
        <v xml:space="preserve"> </v>
      </c>
      <c r="AD17" s="7" t="s">
        <v>1084</v>
      </c>
      <c r="AE17" s="6" t="str">
        <f>_xlfn.XLOOKUP(AD17,対応表!$B:$B,対応表!$C:$C," ")</f>
        <v xml:space="preserve"> </v>
      </c>
      <c r="AF17" s="7" t="s">
        <v>1085</v>
      </c>
      <c r="AG17" s="6" t="str">
        <f>_xlfn.XLOOKUP(AF17,対応表!$B:$B,対応表!$C:$C," ")</f>
        <v xml:space="preserve"> </v>
      </c>
      <c r="AH17" s="7" t="s">
        <v>1086</v>
      </c>
      <c r="AI17" s="6" t="str">
        <f>_xlfn.XLOOKUP(AH17,対応表!$B:$B,対応表!$C:$C," ")</f>
        <v xml:space="preserve"> </v>
      </c>
      <c r="AJ17" s="7" t="s">
        <v>1087</v>
      </c>
      <c r="AK17" s="6" t="str">
        <f>_xlfn.XLOOKUP(AJ17,対応表!$B:$B,対応表!$C:$C," ")</f>
        <v xml:space="preserve"> </v>
      </c>
      <c r="AL17" s="7" t="s">
        <v>1088</v>
      </c>
      <c r="AM17" s="6" t="str">
        <f>_xlfn.XLOOKUP(AL17,対応表!$B:$B,対応表!$C:$C," ")</f>
        <v xml:space="preserve"> </v>
      </c>
      <c r="AN17" s="7" t="s">
        <v>1089</v>
      </c>
      <c r="AO17" s="6" t="str">
        <f>_xlfn.XLOOKUP(AN17,対応表!$B:$B,対応表!$C:$C," ")</f>
        <v xml:space="preserve"> </v>
      </c>
      <c r="AP17" s="7" t="s">
        <v>1090</v>
      </c>
      <c r="AQ17" s="6" t="str">
        <f>_xlfn.XLOOKUP(AP17,対応表!$B:$B,対応表!$C:$C," ")</f>
        <v xml:space="preserve"> </v>
      </c>
      <c r="AR17" s="7" t="s">
        <v>1091</v>
      </c>
      <c r="AS17" s="6" t="str">
        <f>_xlfn.XLOOKUP(AR17,対応表!$B:$B,対応表!$C:$C," ")</f>
        <v xml:space="preserve"> </v>
      </c>
      <c r="AT17" s="7" t="s">
        <v>1092</v>
      </c>
      <c r="AU17" s="6" t="str">
        <f>_xlfn.XLOOKUP(AT17,対応表!$B:$B,対応表!$C:$C," ")</f>
        <v xml:space="preserve"> </v>
      </c>
      <c r="AV17" s="7" t="s">
        <v>1093</v>
      </c>
      <c r="AW17" s="6" t="str">
        <f>_xlfn.XLOOKUP(AV17,対応表!$B:$B,対応表!$C:$C," ")</f>
        <v>[俚]?</v>
      </c>
      <c r="AX17" s="17" t="s">
        <v>1094</v>
      </c>
      <c r="AY17" s="6" t="str">
        <f>_xlfn.XLOOKUP(AX17,対応表!$B:$B,対応表!$C:$C," ")</f>
        <v xml:space="preserve"> </v>
      </c>
      <c r="AZ17" s="7" t="s">
        <v>1095</v>
      </c>
      <c r="BA17" s="6" t="str">
        <f>_xlfn.XLOOKUP(AZ17,対応表!$B:$B,対応表!$C:$C," ")</f>
        <v>[倂]?</v>
      </c>
      <c r="BB17" s="7" t="s">
        <v>1096</v>
      </c>
      <c r="BC17" s="6" t="str">
        <f>_xlfn.XLOOKUP(BB17,対応表!$B:$B,対応表!$C:$C," ")</f>
        <v xml:space="preserve"> </v>
      </c>
      <c r="BD17" s="7" t="s">
        <v>1097</v>
      </c>
      <c r="BE17" s="6" t="str">
        <f>_xlfn.XLOOKUP(BD17,対応表!$B:$B,対応表!$C:$C," ")</f>
        <v xml:space="preserve"> </v>
      </c>
      <c r="BF17" s="7" t="s">
        <v>1098</v>
      </c>
      <c r="BG17" s="6" t="str">
        <f>_xlfn.XLOOKUP(BF17,対応表!$B:$B,対応表!$C:$C," ")</f>
        <v>人</v>
      </c>
      <c r="BH17" s="7" t="s">
        <v>1099</v>
      </c>
      <c r="BI17" s="6" t="str">
        <f>_xlfn.XLOOKUP(BH17,対応表!$B:$B,対応表!$C:$C," ")</f>
        <v xml:space="preserve"> </v>
      </c>
      <c r="BJ17" s="7" t="s">
        <v>1100</v>
      </c>
      <c r="BK17" s="6" t="str">
        <f>_xlfn.XLOOKUP(BJ17,対応表!$B:$B,対応表!$C:$C," ")</f>
        <v xml:space="preserve"> </v>
      </c>
      <c r="BL17" s="7" t="s">
        <v>1101</v>
      </c>
      <c r="BM17" s="6" t="str">
        <f>_xlfn.XLOOKUP(BL17,対応表!$B:$B,対応表!$C:$C," ")</f>
        <v>行</v>
      </c>
      <c r="BN17" s="7" t="s">
        <v>1102</v>
      </c>
      <c r="BO17" s="6" t="str">
        <f>_xlfn.XLOOKUP(BN17,対応表!$B:$B,対応表!$C:$C," ")</f>
        <v>奥?</v>
      </c>
      <c r="BP17" s="7" t="s">
        <v>1103</v>
      </c>
      <c r="BQ17" s="6" t="str">
        <f>_xlfn.XLOOKUP(BP17,対応表!$B:$B,対応表!$C:$C," ")</f>
        <v xml:space="preserve"> </v>
      </c>
      <c r="BR17" s="7" t="s">
        <v>1104</v>
      </c>
      <c r="BS17" s="6" t="str">
        <f>_xlfn.XLOOKUP(BR17,対応表!$B:$B,対応表!$C:$C," ")</f>
        <v xml:space="preserve"> </v>
      </c>
      <c r="BT17" s="7" t="s">
        <v>1105</v>
      </c>
      <c r="BU17" s="6" t="str">
        <f>_xlfn.XLOOKUP(BT17,対応表!$B:$B,対応表!$C:$C," ")</f>
        <v xml:space="preserve"> </v>
      </c>
      <c r="BV17" s="7" t="s">
        <v>1106</v>
      </c>
      <c r="BW17" s="6" t="str">
        <f>_xlfn.XLOOKUP(BV17,対応表!$B:$B,対応表!$C:$C," ")</f>
        <v xml:space="preserve"> </v>
      </c>
      <c r="BX17" s="7" t="s">
        <v>1107</v>
      </c>
      <c r="BY17" s="6" t="str">
        <f>_xlfn.XLOOKUP(BX17,対応表!$B:$B,対応表!$C:$C," ")</f>
        <v xml:space="preserve"> </v>
      </c>
      <c r="BZ17" s="7" t="s">
        <v>1108</v>
      </c>
      <c r="CA17" s="6" t="str">
        <f>_xlfn.XLOOKUP(BZ17,対応表!$B:$B,対応表!$C:$C," ")</f>
        <v xml:space="preserve"> </v>
      </c>
      <c r="CB17" s="7" t="s">
        <v>1109</v>
      </c>
      <c r="CC17" s="6" t="str">
        <f>_xlfn.XLOOKUP(CB17,対応表!$B:$B,対応表!$C:$C," ")</f>
        <v xml:space="preserve"> </v>
      </c>
      <c r="CD17" s="7" t="s">
        <v>1110</v>
      </c>
      <c r="CE17" s="6" t="str">
        <f>_xlfn.XLOOKUP(CD17,対応表!$B:$B,対応表!$C:$C," ")</f>
        <v xml:space="preserve"> </v>
      </c>
      <c r="CF17" s="7" t="s">
        <v>1111</v>
      </c>
      <c r="CG17" s="6" t="str">
        <f>_xlfn.XLOOKUP(CF17,対応表!$B:$B,対応表!$C:$C," ")</f>
        <v xml:space="preserve"> </v>
      </c>
      <c r="CH17" s="7" t="s">
        <v>1112</v>
      </c>
      <c r="CI17" s="6" t="str">
        <f>_xlfn.XLOOKUP(CH17,対応表!$B:$B,対応表!$C:$C," ")</f>
        <v xml:space="preserve"> </v>
      </c>
      <c r="CJ17" s="7" t="s">
        <v>1113</v>
      </c>
      <c r="CK17" s="6" t="str">
        <f>_xlfn.XLOOKUP(CJ17,対応表!$B:$B,対応表!$C:$C," ")</f>
        <v xml:space="preserve"> </v>
      </c>
      <c r="CL17" s="7" t="s">
        <v>1114</v>
      </c>
      <c r="CM17" s="6" t="str">
        <f>_xlfn.XLOOKUP(CL17,対応表!$B:$B,対応表!$C:$C," ")</f>
        <v xml:space="preserve"> </v>
      </c>
      <c r="CN17" s="7" t="s">
        <v>1115</v>
      </c>
      <c r="CO17" s="6" t="str">
        <f>_xlfn.XLOOKUP(CN17,対応表!$B:$B,対応表!$C:$C," ")</f>
        <v xml:space="preserve"> </v>
      </c>
      <c r="CP17" s="7" t="s">
        <v>1116</v>
      </c>
      <c r="CQ17" s="6" t="str">
        <f>_xlfn.XLOOKUP(CP17,対応表!$B:$B,対応表!$C:$C," ")</f>
        <v>扱?</v>
      </c>
      <c r="CR17" s="7" t="s">
        <v>1117</v>
      </c>
      <c r="CS17" s="6" t="str">
        <f>_xlfn.XLOOKUP(CR17,対応表!$B:$B,対応表!$C:$C," ")</f>
        <v xml:space="preserve"> </v>
      </c>
      <c r="CT17" s="7" t="s">
        <v>1118</v>
      </c>
      <c r="CU17" s="6" t="str">
        <f>_xlfn.XLOOKUP(CT17,対応表!$B:$B,対応表!$C:$C," ")</f>
        <v xml:space="preserve"> </v>
      </c>
      <c r="CV17" s="7" t="s">
        <v>1119</v>
      </c>
      <c r="CW17" s="6" t="str">
        <f>_xlfn.XLOOKUP(CV17,対応表!$B:$B,対応表!$C:$C," ")</f>
        <v xml:space="preserve"> </v>
      </c>
      <c r="CX17" s="7" t="s">
        <v>1120</v>
      </c>
      <c r="CY17" s="6" t="str">
        <f>_xlfn.XLOOKUP(CX17,対応表!$B:$B,対応表!$C:$C," ")</f>
        <v xml:space="preserve"> </v>
      </c>
      <c r="CZ17" s="7" t="s">
        <v>1121</v>
      </c>
      <c r="DA17" s="6" t="str">
        <f>_xlfn.XLOOKUP(CZ17,対応表!$B:$B,対応表!$C:$C," ")</f>
        <v xml:space="preserve"> </v>
      </c>
      <c r="DB17" s="7" t="s">
        <v>1122</v>
      </c>
      <c r="DC17" s="6" t="str">
        <f>_xlfn.XLOOKUP(DB17,対応表!$B:$B,対応表!$C:$C," ")</f>
        <v xml:space="preserve"> </v>
      </c>
      <c r="DD17" s="17" t="s">
        <v>1123</v>
      </c>
      <c r="DE17" s="6" t="str">
        <f>_xlfn.XLOOKUP(DD17,対応表!$B:$B,対応表!$C:$C," ")</f>
        <v xml:space="preserve"> </v>
      </c>
      <c r="DF17" s="7" t="s">
        <v>1124</v>
      </c>
      <c r="DG17" s="6" t="str">
        <f>_xlfn.XLOOKUP(DF17,対応表!$B:$B,対応表!$C:$C," ")</f>
        <v xml:space="preserve"> </v>
      </c>
      <c r="DH17" s="7" t="s">
        <v>1125</v>
      </c>
      <c r="DI17" s="6" t="str">
        <f>_xlfn.XLOOKUP(DH17,対応表!$B:$B,対応表!$C:$C," ")</f>
        <v xml:space="preserve"> </v>
      </c>
      <c r="DJ17" s="7" t="s">
        <v>1126</v>
      </c>
      <c r="DK17" s="6" t="str">
        <f>_xlfn.XLOOKUP(DJ17,対応表!$B:$B,対応表!$C:$C," ")</f>
        <v xml:space="preserve"> </v>
      </c>
      <c r="DL17" s="7" t="s">
        <v>1127</v>
      </c>
      <c r="DM17" s="6" t="str">
        <f>_xlfn.XLOOKUP(DL17,対応表!$B:$B,対応表!$C:$C," ")</f>
        <v xml:space="preserve"> </v>
      </c>
      <c r="DN17" s="7" t="s">
        <v>1128</v>
      </c>
      <c r="DO17" s="6" t="str">
        <f>_xlfn.XLOOKUP(DN17,対応表!$B:$B,対応表!$C:$C," ")</f>
        <v xml:space="preserve"> </v>
      </c>
      <c r="DP17" s="7" t="s">
        <v>1129</v>
      </c>
      <c r="DQ17" s="6" t="str">
        <f>_xlfn.XLOOKUP(DP17,対応表!$B:$B,対応表!$C:$C," ")</f>
        <v xml:space="preserve"> </v>
      </c>
      <c r="DR17" s="7" t="s">
        <v>1130</v>
      </c>
      <c r="DS17" s="6" t="str">
        <f>_xlfn.XLOOKUP(DR17,対応表!$B:$B,対応表!$C:$C," ")</f>
        <v xml:space="preserve"> </v>
      </c>
      <c r="DT17" s="17" t="s">
        <v>1131</v>
      </c>
      <c r="DU17" s="6" t="str">
        <f>_xlfn.XLOOKUP(DT17,対応表!$B:$B,対応表!$C:$C," ")</f>
        <v xml:space="preserve"> </v>
      </c>
      <c r="DV17" s="7" t="s">
        <v>1132</v>
      </c>
      <c r="DW17" s="6" t="str">
        <f>_xlfn.XLOOKUP(DV17,対応表!$B:$B,対応表!$C:$C," ")</f>
        <v xml:space="preserve"> </v>
      </c>
      <c r="DX17" s="7" t="s">
        <v>1133</v>
      </c>
      <c r="DY17" s="6" t="str">
        <f>_xlfn.XLOOKUP(DX17,対応表!$B:$B,対応表!$C:$C," ")</f>
        <v xml:space="preserve"> </v>
      </c>
      <c r="DZ17" s="7" t="s">
        <v>1134</v>
      </c>
      <c r="EA17" s="6" t="str">
        <f>_xlfn.XLOOKUP(DZ17,対応表!$B:$B,対応表!$C:$C," ")</f>
        <v xml:space="preserve"> </v>
      </c>
      <c r="EB17" s="7" t="s">
        <v>1135</v>
      </c>
      <c r="EC17" s="6" t="str">
        <f>_xlfn.XLOOKUP(EB17,対応表!$B:$B,対応表!$C:$C," ")</f>
        <v xml:space="preserve"> </v>
      </c>
      <c r="ED17" s="7" t="s">
        <v>1136</v>
      </c>
      <c r="EE17" s="6" t="str">
        <f>_xlfn.XLOOKUP(ED17,対応表!$B:$B,対応表!$C:$C," ")</f>
        <v xml:space="preserve"> </v>
      </c>
      <c r="EF17" s="7" t="s">
        <v>1137</v>
      </c>
      <c r="EG17" s="6" t="str">
        <f>_xlfn.XLOOKUP(EF17,対応表!$B:$B,対応表!$C:$C," ")</f>
        <v xml:space="preserve"> </v>
      </c>
      <c r="EH17" s="7" t="s">
        <v>1138</v>
      </c>
      <c r="EI17" s="6" t="str">
        <f>_xlfn.XLOOKUP(EH17,対応表!$B:$B,対応表!$C:$C," ")</f>
        <v xml:space="preserve"> </v>
      </c>
      <c r="EJ17" s="7" t="s">
        <v>1139</v>
      </c>
      <c r="EK17" s="6" t="str">
        <f>_xlfn.XLOOKUP(EJ17,対応表!$B:$B,対応表!$C:$C," ")</f>
        <v xml:space="preserve"> </v>
      </c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</row>
    <row r="18" spans="1:160" ht="30" customHeight="1" x14ac:dyDescent="0.4">
      <c r="A18" s="9" t="s">
        <v>1140</v>
      </c>
      <c r="B18" s="7" t="s">
        <v>1141</v>
      </c>
      <c r="C18" s="6" t="str">
        <f>_xlfn.XLOOKUP(B18,対応表!$B:$B,対応表!$C:$C," ")</f>
        <v>所</v>
      </c>
      <c r="D18" s="7" t="s">
        <v>1142</v>
      </c>
      <c r="E18" s="20" t="str" cm="1">
        <f t="array" ref="E18">_xlfn.XLOOKUP(D18,対応表!$B:B,対応表!$C:C," ")</f>
        <v>し</v>
      </c>
      <c r="F18" s="7" t="s">
        <v>1143</v>
      </c>
      <c r="G18" s="6" t="str">
        <f>_xlfn.XLOOKUP(F18,対応表!$B:$B,対応表!$C:$C," ")</f>
        <v xml:space="preserve"> </v>
      </c>
      <c r="H18" s="7" t="s">
        <v>1144</v>
      </c>
      <c r="I18" s="6" t="str">
        <f>_xlfn.XLOOKUP(H18,対応表!$B:$B,対応表!$C:$C," ")</f>
        <v>々</v>
      </c>
      <c r="J18" s="7" t="s">
        <v>1145</v>
      </c>
      <c r="K18" s="6" t="str">
        <f>_xlfn.XLOOKUP(J18,対応表!$B:$B,対応表!$C:$C," ")</f>
        <v xml:space="preserve"> </v>
      </c>
      <c r="L18" s="7" t="s">
        <v>1146</v>
      </c>
      <c r="M18" s="6" t="str">
        <f>_xlfn.XLOOKUP(L18,対応表!$B:$B,対応表!$C:$C,"こ")</f>
        <v>[乳]?</v>
      </c>
      <c r="N18" s="7" t="s">
        <v>1147</v>
      </c>
      <c r="O18" s="6" t="str">
        <f>_xlfn.XLOOKUP(N18,対応表!$B:$B,対応表!$C:$C," ")</f>
        <v>ぎ</v>
      </c>
      <c r="P18" s="7" t="s">
        <v>1148</v>
      </c>
      <c r="Q18" s="6" t="str">
        <f>_xlfn.XLOOKUP(P18,対応表!$B:$B,対応表!$C:$C," ")</f>
        <v xml:space="preserve"> </v>
      </c>
      <c r="R18" s="7" t="s">
        <v>1149</v>
      </c>
      <c r="S18" s="6" t="str">
        <f>_xlfn.XLOOKUP(R18,対応表!$B:$B,対応表!$C:$C," ")</f>
        <v xml:space="preserve"> </v>
      </c>
      <c r="T18" s="7" t="s">
        <v>1150</v>
      </c>
      <c r="U18" s="6" t="str">
        <f>_xlfn.XLOOKUP(T18,対応表!$B:$B,対応表!$C:$C," ")</f>
        <v>え</v>
      </c>
      <c r="V18" s="7" t="s">
        <v>1151</v>
      </c>
      <c r="W18" s="6" t="str">
        <f>_xlfn.XLOOKUP(V18,対応表!$B:$B,対応表!$C:$C," ")</f>
        <v xml:space="preserve"> </v>
      </c>
      <c r="X18" s="17" t="s">
        <v>1152</v>
      </c>
      <c r="Y18" s="6" t="str">
        <f>_xlfn.XLOOKUP(X18,対応表!$B:$B,対応表!$C:$C," ")</f>
        <v>色?</v>
      </c>
      <c r="Z18" s="7" t="s">
        <v>1153</v>
      </c>
      <c r="AA18" s="6" t="str">
        <f>_xlfn.XLOOKUP(Z18,対応表!$B:$B,対応表!$C:$C," ")</f>
        <v xml:space="preserve"> </v>
      </c>
      <c r="AB18" s="7" t="s">
        <v>1154</v>
      </c>
      <c r="AC18" s="6" t="str">
        <f>_xlfn.XLOOKUP(AB18,対応表!$B:$B,対応表!$C:$C," ")</f>
        <v xml:space="preserve"> </v>
      </c>
      <c r="AD18" s="7" t="s">
        <v>1155</v>
      </c>
      <c r="AE18" s="6" t="str">
        <f>_xlfn.XLOOKUP(AD18,対応表!$B:$B,対応表!$C:$C," ")</f>
        <v xml:space="preserve"> </v>
      </c>
      <c r="AF18" s="7" t="s">
        <v>1156</v>
      </c>
      <c r="AG18" s="6" t="str">
        <f>_xlfn.XLOOKUP(AF18,対応表!$B:$B,対応表!$C:$C," ")</f>
        <v xml:space="preserve"> </v>
      </c>
      <c r="AH18" s="7" t="s">
        <v>1157</v>
      </c>
      <c r="AI18" s="6" t="str">
        <f>_xlfn.XLOOKUP(AH18,対応表!$B:$B,対応表!$C:$C," ")</f>
        <v xml:space="preserve"> </v>
      </c>
      <c r="AJ18" s="7" t="s">
        <v>1158</v>
      </c>
      <c r="AK18" s="6" t="str">
        <f>_xlfn.XLOOKUP(AJ18,対応表!$B:$B,対応表!$C:$C," ")</f>
        <v xml:space="preserve"> </v>
      </c>
      <c r="AL18" s="7" t="s">
        <v>1159</v>
      </c>
      <c r="AM18" s="6" t="str">
        <f>_xlfn.XLOOKUP(AL18,対応表!$B:$B,対応表!$C:$C," ")</f>
        <v xml:space="preserve"> </v>
      </c>
      <c r="AN18" s="7" t="s">
        <v>1160</v>
      </c>
      <c r="AO18" s="6" t="str">
        <f>_xlfn.XLOOKUP(AN18,対応表!$B:$B,対応表!$C:$C," ")</f>
        <v xml:space="preserve"> </v>
      </c>
      <c r="AP18" s="7" t="s">
        <v>1161</v>
      </c>
      <c r="AQ18" s="6" t="str">
        <f>_xlfn.XLOOKUP(AP18,対応表!$B:$B,対応表!$C:$C," ")</f>
        <v xml:space="preserve"> </v>
      </c>
      <c r="AR18" s="7" t="s">
        <v>1162</v>
      </c>
      <c r="AS18" s="6" t="str">
        <f>_xlfn.XLOOKUP(AR18,対応表!$B:$B,対応表!$C:$C," ")</f>
        <v xml:space="preserve"> </v>
      </c>
      <c r="AT18" s="17" t="s">
        <v>1163</v>
      </c>
      <c r="AU18" s="6" t="str">
        <f>_xlfn.XLOOKUP(AT18,対応表!$B:$B,対応表!$C:$C," ")</f>
        <v xml:space="preserve"> </v>
      </c>
      <c r="AV18" s="7" t="s">
        <v>1164</v>
      </c>
      <c r="AW18" s="6" t="str">
        <f>_xlfn.XLOOKUP(AV18,対応表!$B:$B,対応表!$C:$C," ")</f>
        <v xml:space="preserve"> </v>
      </c>
      <c r="AX18" s="7" t="s">
        <v>1165</v>
      </c>
      <c r="AY18" s="6" t="str">
        <f>_xlfn.XLOOKUP(AX18,対応表!$B:$B,対応表!$C:$C," ")</f>
        <v>指</v>
      </c>
      <c r="AZ18" s="7" t="s">
        <v>1166</v>
      </c>
      <c r="BA18" s="6" t="str">
        <f>_xlfn.XLOOKUP(AZ18,対応表!$B:$B,対応表!$C:$C," ")</f>
        <v xml:space="preserve"> </v>
      </c>
      <c r="BB18" s="7" t="s">
        <v>1167</v>
      </c>
      <c r="BC18" s="6" t="str">
        <f>_xlfn.XLOOKUP(BB18,対応表!$B:$B,対応表!$C:$C," ")</f>
        <v xml:space="preserve"> </v>
      </c>
      <c r="BD18" s="7" t="s">
        <v>1168</v>
      </c>
      <c r="BE18" s="6" t="str">
        <f>_xlfn.XLOOKUP(BD18,対応表!$B:$B,対応表!$C:$C," ")</f>
        <v xml:space="preserve"> </v>
      </c>
      <c r="BF18" s="7" t="s">
        <v>1169</v>
      </c>
      <c r="BG18" s="6" t="str">
        <f>_xlfn.XLOOKUP(BF18,対応表!$B:$B,対応表!$C:$C," ")</f>
        <v xml:space="preserve"> </v>
      </c>
      <c r="BH18" s="7" t="s">
        <v>1170</v>
      </c>
      <c r="BI18" s="6" t="str">
        <f>_xlfn.XLOOKUP(BH18,対応表!$B:$B,対応表!$C:$C," ")</f>
        <v xml:space="preserve"> </v>
      </c>
      <c r="BJ18" s="7" t="s">
        <v>1171</v>
      </c>
      <c r="BK18" s="6" t="str">
        <f>_xlfn.XLOOKUP(BJ18,対応表!$B:$B,対応表!$C:$C," ")</f>
        <v xml:space="preserve"> </v>
      </c>
      <c r="BL18" s="7" t="s">
        <v>1172</v>
      </c>
      <c r="BM18" s="6" t="str">
        <f>_xlfn.XLOOKUP(BL18,対応表!$B:$B,対応表!$C:$C," ")</f>
        <v xml:space="preserve"> </v>
      </c>
      <c r="BN18" s="7" t="s">
        <v>1173</v>
      </c>
      <c r="BO18" s="6" t="str">
        <f>_xlfn.XLOOKUP(BN18,対応表!$B:$B,対応表!$C:$C," ")</f>
        <v xml:space="preserve"> </v>
      </c>
      <c r="BP18" s="7" t="s">
        <v>1174</v>
      </c>
      <c r="BQ18" s="6" t="str">
        <f>_xlfn.XLOOKUP(BP18,対応表!$B:$B,対応表!$C:$C," ")</f>
        <v xml:space="preserve"> </v>
      </c>
      <c r="BR18" s="17" t="s">
        <v>1175</v>
      </c>
      <c r="BS18" s="6" t="str">
        <f>_xlfn.XLOOKUP(BR18,対応表!$B:$B,対応表!$C:$C," ")</f>
        <v xml:space="preserve"> </v>
      </c>
      <c r="BT18" s="7" t="s">
        <v>1176</v>
      </c>
      <c r="BU18" s="6" t="str">
        <f>_xlfn.XLOOKUP(BT18,対応表!$B:$B,対応表!$C:$C," ")</f>
        <v xml:space="preserve"> </v>
      </c>
      <c r="BV18" s="7" t="s">
        <v>1177</v>
      </c>
      <c r="BW18" s="6" t="str">
        <f>_xlfn.XLOOKUP(BV18,対応表!$B:$B,対応表!$C:$C," ")</f>
        <v xml:space="preserve"> </v>
      </c>
      <c r="BX18" s="7" t="s">
        <v>1178</v>
      </c>
      <c r="BY18" s="6" t="str">
        <f>_xlfn.XLOOKUP(BX18,対応表!$B:$B,対応表!$C:$C," ")</f>
        <v xml:space="preserve"> </v>
      </c>
      <c r="BZ18" s="7" t="s">
        <v>1179</v>
      </c>
      <c r="CA18" s="6" t="str">
        <f>_xlfn.XLOOKUP(BZ18,対応表!$B:$B,対応表!$C:$C," ")</f>
        <v xml:space="preserve"> </v>
      </c>
      <c r="CB18" s="7" t="s">
        <v>1180</v>
      </c>
      <c r="CC18" s="6" t="str">
        <f>_xlfn.XLOOKUP(CB18,対応表!$B:$B,対応表!$C:$C," ")</f>
        <v>入</v>
      </c>
      <c r="CD18" s="7" t="s">
        <v>1181</v>
      </c>
      <c r="CE18" s="6" t="str">
        <f>_xlfn.XLOOKUP(CD18,対応表!$B:$B,対応表!$C:$C," ")</f>
        <v xml:space="preserve"> </v>
      </c>
      <c r="CF18" s="17" t="s">
        <v>1182</v>
      </c>
      <c r="CG18" s="6" t="str">
        <f>_xlfn.XLOOKUP(CF18,対応表!$B:$B,対応表!$C:$C," ")</f>
        <v xml:space="preserve"> </v>
      </c>
      <c r="CH18" s="7" t="s">
        <v>1183</v>
      </c>
      <c r="CI18" s="6" t="str">
        <f>_xlfn.XLOOKUP(CH18,対応表!$B:$B,対応表!$C:$C," ")</f>
        <v xml:space="preserve"> </v>
      </c>
      <c r="CJ18" s="7" t="s">
        <v>1184</v>
      </c>
      <c r="CK18" s="6" t="str">
        <f>_xlfn.XLOOKUP(CJ18,対応表!$B:$B,対応表!$C:$C," ")</f>
        <v xml:space="preserve"> </v>
      </c>
      <c r="CL18" s="7" t="s">
        <v>1185</v>
      </c>
      <c r="CM18" s="6" t="str">
        <f>_xlfn.XLOOKUP(CL18,対応表!$B:$B,対応表!$C:$C," ")</f>
        <v xml:space="preserve"> </v>
      </c>
      <c r="CN18" s="7" t="s">
        <v>1186</v>
      </c>
      <c r="CO18" s="6" t="str">
        <f>_xlfn.XLOOKUP(CN18,対応表!$B:$B,対応表!$C:$C," ")</f>
        <v xml:space="preserve"> </v>
      </c>
      <c r="CP18" s="7" t="s">
        <v>1187</v>
      </c>
      <c r="CQ18" s="6" t="str">
        <f>_xlfn.XLOOKUP(CP18,対応表!$B:$B,対応表!$C:$C," ")</f>
        <v xml:space="preserve"> </v>
      </c>
      <c r="CR18" s="7" t="s">
        <v>1188</v>
      </c>
      <c r="CS18" s="6" t="str">
        <f>_xlfn.XLOOKUP(CR18,対応表!$B:$B,対応表!$C:$C," ")</f>
        <v xml:space="preserve"> </v>
      </c>
      <c r="CT18" s="7" t="s">
        <v>1189</v>
      </c>
      <c r="CU18" s="6" t="str">
        <f>_xlfn.XLOOKUP(CT18,対応表!$B:$B,対応表!$C:$C," ")</f>
        <v>閉</v>
      </c>
      <c r="CV18" s="7" t="s">
        <v>1190</v>
      </c>
      <c r="CW18" s="6" t="str">
        <f>_xlfn.XLOOKUP(CV18,対応表!$B:$B,対応表!$C:$C," ")</f>
        <v xml:space="preserve"> </v>
      </c>
      <c r="CX18" s="7" t="s">
        <v>1191</v>
      </c>
      <c r="CY18" s="6" t="str">
        <f>_xlfn.XLOOKUP(CX18,対応表!$B:$B,対応表!$C:$C," ")</f>
        <v xml:space="preserve"> </v>
      </c>
      <c r="CZ18" s="7" t="s">
        <v>1192</v>
      </c>
      <c r="DA18" s="6" t="str">
        <f>_xlfn.XLOOKUP(CZ18,対応表!$B:$B,対応表!$C:$C," ")</f>
        <v>年</v>
      </c>
      <c r="DB18" s="7" t="s">
        <v>1122</v>
      </c>
      <c r="DC18" s="6" t="str">
        <f>_xlfn.XLOOKUP(DB18,対応表!$B:$B,対応表!$C:$C," ")</f>
        <v xml:space="preserve"> </v>
      </c>
      <c r="DD18" s="7" t="s">
        <v>1193</v>
      </c>
      <c r="DE18" s="6" t="str">
        <f>_xlfn.XLOOKUP(DD18,対応表!$B:$B,対応表!$C:$C," ")</f>
        <v>犯</v>
      </c>
      <c r="DF18" s="7" t="s">
        <v>1194</v>
      </c>
      <c r="DG18" s="6" t="str">
        <f>_xlfn.XLOOKUP(DF18,対応表!$B:$B,対応表!$C:$C," ")</f>
        <v xml:space="preserve"> </v>
      </c>
      <c r="DH18" s="7" t="s">
        <v>1195</v>
      </c>
      <c r="DI18" s="6" t="str">
        <f>_xlfn.XLOOKUP(DH18,対応表!$B:$B,対応表!$C:$C," ")</f>
        <v xml:space="preserve"> </v>
      </c>
      <c r="DJ18" s="7" t="s">
        <v>1196</v>
      </c>
      <c r="DK18" s="6" t="str">
        <f>_xlfn.XLOOKUP(DJ18,対応表!$B:$B,対応表!$C:$C," ")</f>
        <v xml:space="preserve"> </v>
      </c>
      <c r="DL18" s="7" t="s">
        <v>1197</v>
      </c>
      <c r="DM18" s="6" t="str">
        <f>_xlfn.XLOOKUP(DL18,対応表!$B:$B,対応表!$C:$C," ")</f>
        <v xml:space="preserve"> </v>
      </c>
      <c r="DN18" s="7" t="s">
        <v>1198</v>
      </c>
      <c r="DO18" s="6" t="str">
        <f>_xlfn.XLOOKUP(DN18,対応表!$B:$B,対応表!$C:$C," ")</f>
        <v xml:space="preserve"> </v>
      </c>
      <c r="DP18" s="7" t="s">
        <v>1199</v>
      </c>
      <c r="DQ18" s="6" t="str">
        <f>_xlfn.XLOOKUP(DP18,対応表!$B:$B,対応表!$C:$C," ")</f>
        <v xml:space="preserve"> </v>
      </c>
      <c r="DR18" s="7" t="s">
        <v>1200</v>
      </c>
      <c r="DS18" s="6" t="str">
        <f>_xlfn.XLOOKUP(DR18,対応表!$B:$B,対応表!$C:$C," ")</f>
        <v xml:space="preserve"> </v>
      </c>
      <c r="DT18" s="7" t="s">
        <v>1201</v>
      </c>
      <c r="DU18" s="6" t="str">
        <f>_xlfn.XLOOKUP(DT18,対応表!$B:$B,対応表!$C:$C," ")</f>
        <v>開</v>
      </c>
      <c r="DV18" s="7" t="s">
        <v>1202</v>
      </c>
      <c r="DW18" s="6" t="str">
        <f>_xlfn.XLOOKUP(DV18,対応表!$B:$B,対応表!$C:$C," ")</f>
        <v xml:space="preserve"> </v>
      </c>
      <c r="DX18" s="7" t="s">
        <v>1203</v>
      </c>
      <c r="DY18" s="6" t="str">
        <f>_xlfn.XLOOKUP(DX18,対応表!$B:$B,対応表!$C:$C," ")</f>
        <v>守?</v>
      </c>
      <c r="DZ18" s="7" t="s">
        <v>1204</v>
      </c>
      <c r="EA18" s="6" t="str">
        <f>_xlfn.XLOOKUP(DZ18,対応表!$B:$B,対応表!$C:$C," ")</f>
        <v xml:space="preserve"> </v>
      </c>
      <c r="EB18" s="7" t="s">
        <v>1205</v>
      </c>
      <c r="EC18" s="6" t="str">
        <f>_xlfn.XLOOKUP(EB18,対応表!$B:$B,対応表!$C:$C," ")</f>
        <v xml:space="preserve"> </v>
      </c>
      <c r="ED18" s="7" t="s">
        <v>1206</v>
      </c>
      <c r="EE18" s="6" t="str">
        <f>_xlfn.XLOOKUP(ED18,対応表!$B:$B,対応表!$C:$C," ")</f>
        <v xml:space="preserve"> </v>
      </c>
      <c r="EF18" s="7" t="s">
        <v>1207</v>
      </c>
      <c r="EG18" s="6" t="str">
        <f>_xlfn.XLOOKUP(EF18,対応表!$B:$B,対応表!$C:$C," ")</f>
        <v>像/王?</v>
      </c>
      <c r="EH18" s="7" t="s">
        <v>1208</v>
      </c>
      <c r="EI18" s="6" t="str">
        <f>_xlfn.XLOOKUP(EH18,対応表!$B:$B,対応表!$C:$C," ")</f>
        <v xml:space="preserve"> </v>
      </c>
      <c r="EJ18" s="7" t="s">
        <v>1209</v>
      </c>
      <c r="EK18" s="6" t="str">
        <f>_xlfn.XLOOKUP(EJ18,対応表!$B:$B,対応表!$C:$C," ")</f>
        <v xml:space="preserve"> </v>
      </c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</row>
    <row r="19" spans="1:160" ht="30" customHeight="1" x14ac:dyDescent="0.4">
      <c r="A19" s="9" t="s">
        <v>1210</v>
      </c>
      <c r="B19" s="7" t="s">
        <v>1211</v>
      </c>
      <c r="C19" s="6" t="str">
        <f>_xlfn.XLOOKUP(B19,対応表!$B:$B,対応表!$C:$C," ")</f>
        <v>で</v>
      </c>
      <c r="D19" s="7" t="s">
        <v>1212</v>
      </c>
      <c r="E19" s="19" t="str" cm="1">
        <f t="array" ref="E19">_xlfn.XLOOKUP(D19,対応表!$B:B,対応表!$C:C,"掟?")</f>
        <v>掟</v>
      </c>
      <c r="F19" s="7" t="s">
        <v>1213</v>
      </c>
      <c r="G19" s="6" t="str">
        <f>_xlfn.XLOOKUP(F19,対応表!$B:$B,対応表!$C:$C," ")</f>
        <v xml:space="preserve"> </v>
      </c>
      <c r="H19" s="7" t="s">
        <v>1214</v>
      </c>
      <c r="I19" s="6" t="str">
        <f>_xlfn.XLOOKUP(H19,対応表!$B:$B,対応表!$C:$C," ")</f>
        <v>ま</v>
      </c>
      <c r="J19" s="7" t="s">
        <v>1215</v>
      </c>
      <c r="K19" s="6" t="str">
        <f>_xlfn.XLOOKUP(J19,対応表!$B:$B,対応表!$C:$C,"。")</f>
        <v>。</v>
      </c>
      <c r="L19" s="7" t="s">
        <v>1216</v>
      </c>
      <c r="M19" s="6" t="str">
        <f>_xlfn.XLOOKUP(L19,対応表!$B:$B,対応表!$C:$C,"の")</f>
        <v>の</v>
      </c>
      <c r="N19" s="7" t="s">
        <v>1217</v>
      </c>
      <c r="O19" s="6" t="str">
        <f>_xlfn.XLOOKUP(N19,対応表!$B:$B,対応表!$C:$C," ")</f>
        <v xml:space="preserve"> </v>
      </c>
      <c r="P19" s="7" t="s">
        <v>1218</v>
      </c>
      <c r="Q19" s="6" t="str">
        <f>_xlfn.XLOOKUP(P19,対応表!$B:$B,対応表!$C:$C," ")</f>
        <v xml:space="preserve"> </v>
      </c>
      <c r="R19" s="7" t="s">
        <v>1219</v>
      </c>
      <c r="S19" s="6" t="str">
        <f>_xlfn.XLOOKUP(R19,対応表!$B:$B,対応表!$C:$C," ")</f>
        <v xml:space="preserve"> </v>
      </c>
      <c r="T19" s="7" t="s">
        <v>1220</v>
      </c>
      <c r="U19" s="6" t="str">
        <f>_xlfn.XLOOKUP(T19,対応表!$B:$B,対応表!$C:$C," ")</f>
        <v xml:space="preserve"> </v>
      </c>
      <c r="V19" s="7" t="s">
        <v>1221</v>
      </c>
      <c r="W19" s="6" t="str">
        <f>_xlfn.XLOOKUP(V19,対応表!$B:$B,対応表!$C:$C," ")</f>
        <v xml:space="preserve"> </v>
      </c>
      <c r="X19" s="7" t="s">
        <v>1222</v>
      </c>
      <c r="Y19" s="6" t="str">
        <f>_xlfn.XLOOKUP(X19,対応表!$B:$B,対応表!$C:$C," ")</f>
        <v xml:space="preserve"> </v>
      </c>
      <c r="Z19" s="7" t="s">
        <v>1223</v>
      </c>
      <c r="AA19" s="6" t="str">
        <f>_xlfn.XLOOKUP(Z19,対応表!$B:$B,対応表!$C:$C," ")</f>
        <v>目</v>
      </c>
      <c r="AB19" s="7" t="s">
        <v>1224</v>
      </c>
      <c r="AC19" s="6" t="str">
        <f>_xlfn.XLOOKUP(AB19,対応表!$B:$B,対応表!$C:$C," ")</f>
        <v xml:space="preserve"> </v>
      </c>
      <c r="AD19" s="7" t="s">
        <v>1225</v>
      </c>
      <c r="AE19" s="6" t="str">
        <f>_xlfn.XLOOKUP(AD19,対応表!$B:$B,対応表!$C:$C," ")</f>
        <v xml:space="preserve"> </v>
      </c>
      <c r="AF19" s="7" t="s">
        <v>1226</v>
      </c>
      <c r="AG19" s="6" t="str">
        <f>_xlfn.XLOOKUP(AF19,対応表!$B:$B,対応表!$C:$C," ")</f>
        <v>ぬ</v>
      </c>
      <c r="AH19" s="7" t="s">
        <v>1227</v>
      </c>
      <c r="AI19" s="6" t="str">
        <f>_xlfn.XLOOKUP(AH19,対応表!$B:$B,対応表!$C:$C," ")</f>
        <v xml:space="preserve"> </v>
      </c>
      <c r="AJ19" s="7" t="s">
        <v>1228</v>
      </c>
      <c r="AK19" s="6" t="str">
        <f>_xlfn.XLOOKUP(AJ19,対応表!$B:$B,対応表!$C:$C," ")</f>
        <v>無</v>
      </c>
      <c r="AL19" s="7" t="s">
        <v>1229</v>
      </c>
      <c r="AM19" s="6" t="str">
        <f>_xlfn.XLOOKUP(AL19,対応表!$B:$B,対応表!$C:$C," ")</f>
        <v xml:space="preserve"> </v>
      </c>
      <c r="AN19" s="7" t="s">
        <v>1230</v>
      </c>
      <c r="AO19" s="6" t="str">
        <f>_xlfn.XLOOKUP(AN19,対応表!$B:$B,対応表!$C:$C," ")</f>
        <v xml:space="preserve"> </v>
      </c>
      <c r="AP19" s="17" t="s">
        <v>1231</v>
      </c>
      <c r="AQ19" s="6" t="str">
        <f>_xlfn.XLOOKUP(AP19,対応表!$B:$B,対応表!$C:$C," ")</f>
        <v xml:space="preserve"> </v>
      </c>
      <c r="AR19" s="7" t="s">
        <v>1232</v>
      </c>
      <c r="AS19" s="6" t="str">
        <f>_xlfn.XLOOKUP(AR19,対応表!$B:$B,対応表!$C:$C," ")</f>
        <v xml:space="preserve"> </v>
      </c>
      <c r="AT19" s="7" t="s">
        <v>1233</v>
      </c>
      <c r="AU19" s="6" t="str">
        <f>_xlfn.XLOOKUP(AT19,対応表!$B:$B,対応表!$C:$C," ")</f>
        <v xml:space="preserve"> </v>
      </c>
      <c r="AV19" s="7" t="s">
        <v>1234</v>
      </c>
      <c r="AW19" s="6" t="str">
        <f>_xlfn.XLOOKUP(AV19,対応表!$B:$B,対応表!$C:$C," ")</f>
        <v>香</v>
      </c>
      <c r="AX19" s="17" t="s">
        <v>1235</v>
      </c>
      <c r="AY19" s="6" t="str">
        <f>_xlfn.XLOOKUP(AX19,対応表!$B:$B,対応表!$C:$C," ")</f>
        <v xml:space="preserve"> </v>
      </c>
      <c r="AZ19" s="7" t="s">
        <v>1236</v>
      </c>
      <c r="BA19" s="6" t="str">
        <f>_xlfn.XLOOKUP(AZ19,対応表!$B:$B,対応表!$C:$C," ")</f>
        <v>沿?</v>
      </c>
      <c r="BB19" s="7" t="s">
        <v>1237</v>
      </c>
      <c r="BC19" s="6" t="str">
        <f>_xlfn.XLOOKUP(BB19,対応表!$B:$B,対応表!$C:$C," ")</f>
        <v xml:space="preserve"> </v>
      </c>
      <c r="BD19" s="7" t="s">
        <v>1238</v>
      </c>
      <c r="BE19" s="6" t="str">
        <f>_xlfn.XLOOKUP(BD19,対応表!$B:$B,対応表!$C:$C," ")</f>
        <v xml:space="preserve"> </v>
      </c>
      <c r="BF19" s="7" t="s">
        <v>1239</v>
      </c>
      <c r="BG19" s="6" t="str">
        <f>_xlfn.XLOOKUP(BF19,対応表!$B:$B,対応表!$C:$C," ")</f>
        <v xml:space="preserve"> </v>
      </c>
      <c r="BH19" s="7" t="s">
        <v>1240</v>
      </c>
      <c r="BI19" s="6" t="str">
        <f>_xlfn.XLOOKUP(BH19,対応表!$B:$B,対応表!$C:$C," ")</f>
        <v xml:space="preserve"> </v>
      </c>
      <c r="BJ19" s="7" t="s">
        <v>1241</v>
      </c>
      <c r="BK19" s="6" t="str">
        <f>_xlfn.XLOOKUP(BJ19,対応表!$B:$B,対応表!$C:$C," ")</f>
        <v xml:space="preserve"> </v>
      </c>
      <c r="BL19" s="7" t="s">
        <v>1242</v>
      </c>
      <c r="BM19" s="6" t="str">
        <f>_xlfn.XLOOKUP(BL19,対応表!$B:$B,対応表!$C:$C," ")</f>
        <v xml:space="preserve"> </v>
      </c>
      <c r="BN19" s="7" t="s">
        <v>1243</v>
      </c>
      <c r="BO19" s="6" t="str">
        <f>_xlfn.XLOOKUP(BN19,対応表!$B:$B,対応表!$C:$C," ")</f>
        <v xml:space="preserve"> </v>
      </c>
      <c r="BP19" s="7" t="s">
        <v>1244</v>
      </c>
      <c r="BQ19" s="6" t="str">
        <f>_xlfn.XLOOKUP(BP19,対応表!$B:$B,対応表!$C:$C," ")</f>
        <v xml:space="preserve"> </v>
      </c>
      <c r="BR19" s="7" t="s">
        <v>1245</v>
      </c>
      <c r="BS19" s="6" t="str">
        <f>_xlfn.XLOOKUP(BR19,対応表!$B:$B,対応表!$C:$C," ")</f>
        <v xml:space="preserve"> </v>
      </c>
      <c r="BT19" s="17" t="s">
        <v>1246</v>
      </c>
      <c r="BU19" s="6" t="str">
        <f>_xlfn.XLOOKUP(BT19,対応表!$B:$B,対応表!$C:$C," ")</f>
        <v>お</v>
      </c>
      <c r="BV19" s="7" t="s">
        <v>1247</v>
      </c>
      <c r="BW19" s="6" t="str">
        <f>_xlfn.XLOOKUP(BV19,対応表!$B:$B,対応表!$C:$C," ")</f>
        <v xml:space="preserve"> </v>
      </c>
      <c r="BX19" s="7" t="s">
        <v>1248</v>
      </c>
      <c r="BY19" s="6" t="str">
        <f>_xlfn.XLOOKUP(BX19,対応表!$B:$B,対応表!$C:$C," ")</f>
        <v xml:space="preserve"> </v>
      </c>
      <c r="BZ19" s="7" t="s">
        <v>1249</v>
      </c>
      <c r="CA19" s="6" t="str">
        <f>_xlfn.XLOOKUP(BZ19,対応表!$B:$B,対応表!$C:$C," ")</f>
        <v xml:space="preserve"> </v>
      </c>
      <c r="CB19" s="7" t="s">
        <v>1250</v>
      </c>
      <c r="CC19" s="6" t="str">
        <f>_xlfn.XLOOKUP(CB19,対応表!$B:$B,対応表!$C:$C," ")</f>
        <v xml:space="preserve"> </v>
      </c>
      <c r="CD19" s="7" t="s">
        <v>1251</v>
      </c>
      <c r="CE19" s="6" t="str">
        <f>_xlfn.XLOOKUP(CD19,対応表!$B:$B,対応表!$C:$C," ")</f>
        <v xml:space="preserve"> </v>
      </c>
      <c r="CF19" s="7" t="s">
        <v>1252</v>
      </c>
      <c r="CG19" s="6" t="str">
        <f>_xlfn.XLOOKUP(CF19,対応表!$B:$B,対応表!$C:$C," ")</f>
        <v xml:space="preserve"> </v>
      </c>
      <c r="CH19" s="7" t="s">
        <v>1253</v>
      </c>
      <c r="CI19" s="6" t="str">
        <f>_xlfn.XLOOKUP(CH19,対応表!$B:$B,対応表!$C:$C," ")</f>
        <v xml:space="preserve"> </v>
      </c>
      <c r="CJ19" s="7" t="s">
        <v>1254</v>
      </c>
      <c r="CK19" s="6" t="str">
        <f>_xlfn.XLOOKUP(CJ19,対応表!$B:$B,対応表!$C:$C," ")</f>
        <v xml:space="preserve"> </v>
      </c>
      <c r="CL19" s="7" t="s">
        <v>1255</v>
      </c>
      <c r="CM19" s="6" t="str">
        <f>_xlfn.XLOOKUP(CL19,対応表!$B:$B,対応表!$C:$C," ")</f>
        <v xml:space="preserve"> </v>
      </c>
      <c r="CN19" s="7" t="s">
        <v>1256</v>
      </c>
      <c r="CO19" s="6" t="str">
        <f>_xlfn.XLOOKUP(CN19,対応表!$B:$B,対応表!$C:$C," ")</f>
        <v xml:space="preserve"> </v>
      </c>
      <c r="CP19" s="7" t="s">
        <v>1257</v>
      </c>
      <c r="CQ19" s="6" t="str">
        <f>_xlfn.XLOOKUP(CP19,対応表!$B:$B,対応表!$C:$C," ")</f>
        <v xml:space="preserve"> </v>
      </c>
      <c r="CR19" s="17" t="s">
        <v>1258</v>
      </c>
      <c r="CS19" s="6" t="str">
        <f>_xlfn.XLOOKUP(CR19,対応表!$B:$B,対応表!$C:$C," ")</f>
        <v xml:space="preserve"> </v>
      </c>
      <c r="CT19" s="7" t="s">
        <v>1259</v>
      </c>
      <c r="CU19" s="6" t="str">
        <f>_xlfn.XLOOKUP(CT19,対応表!$B:$B,対応表!$C:$C," ")</f>
        <v xml:space="preserve"> </v>
      </c>
      <c r="CV19" s="7" t="s">
        <v>1260</v>
      </c>
      <c r="CW19" s="6" t="str">
        <f>_xlfn.XLOOKUP(CV19,対応表!$B:$B,対応表!$C:$C," ")</f>
        <v xml:space="preserve"> </v>
      </c>
      <c r="CX19" s="7" t="s">
        <v>1261</v>
      </c>
      <c r="CY19" s="6" t="str">
        <f>_xlfn.XLOOKUP(CX19,対応表!$B:$B,対応表!$C:$C," ")</f>
        <v xml:space="preserve"> </v>
      </c>
      <c r="CZ19" s="7" t="s">
        <v>1262</v>
      </c>
      <c r="DA19" s="6" t="str">
        <f>_xlfn.XLOOKUP(CZ19,対応表!$B:$B,対応表!$C:$C," ")</f>
        <v>以?</v>
      </c>
      <c r="DB19" s="7" t="s">
        <v>1263</v>
      </c>
      <c r="DC19" s="6" t="str">
        <f>_xlfn.XLOOKUP(DB19,対応表!$B:$B,対応表!$C:$C," ")</f>
        <v xml:space="preserve"> </v>
      </c>
      <c r="DD19" s="7" t="s">
        <v>1264</v>
      </c>
      <c r="DE19" s="6" t="str">
        <f>_xlfn.XLOOKUP(DD19,対応表!$B:$B,対応表!$C:$C," ")</f>
        <v xml:space="preserve"> </v>
      </c>
      <c r="DF19" s="7" t="s">
        <v>1265</v>
      </c>
      <c r="DG19" s="6" t="str">
        <f>_xlfn.XLOOKUP(DF19,対応表!$B:$B,対応表!$C:$C," ")</f>
        <v xml:space="preserve"> </v>
      </c>
      <c r="DH19" s="7" t="s">
        <v>1266</v>
      </c>
      <c r="DI19" s="6" t="str">
        <f>_xlfn.XLOOKUP(DH19,対応表!$B:$B,対応表!$C:$C," ")</f>
        <v xml:space="preserve"> </v>
      </c>
      <c r="DJ19" s="7" t="s">
        <v>1267</v>
      </c>
      <c r="DK19" s="6" t="str">
        <f>_xlfn.XLOOKUP(DJ19,対応表!$B:$B,対応表!$C:$C," ")</f>
        <v xml:space="preserve"> </v>
      </c>
      <c r="DL19" s="7" t="s">
        <v>1268</v>
      </c>
      <c r="DM19" s="6" t="str">
        <f>_xlfn.XLOOKUP(DL19,対応表!$B:$B,対応表!$C:$C," ")</f>
        <v xml:space="preserve"> </v>
      </c>
      <c r="DN19" s="7" t="s">
        <v>1269</v>
      </c>
      <c r="DO19" s="6" t="str">
        <f>_xlfn.XLOOKUP(DN19,対応表!$B:$B,対応表!$C:$C," ")</f>
        <v xml:space="preserve"> </v>
      </c>
      <c r="DP19" s="7" t="s">
        <v>1270</v>
      </c>
      <c r="DQ19" s="6" t="str">
        <f>_xlfn.XLOOKUP(DP19,対応表!$B:$B,対応表!$C:$C," ")</f>
        <v xml:space="preserve"> </v>
      </c>
      <c r="DR19" s="7" t="s">
        <v>1271</v>
      </c>
      <c r="DS19" s="6" t="str">
        <f>_xlfn.XLOOKUP(DR19,対応表!$B:$B,対応表!$C:$C,"遷")</f>
        <v>遷?</v>
      </c>
      <c r="DT19" s="7" t="s">
        <v>1272</v>
      </c>
      <c r="DU19" s="6" t="str">
        <f>_xlfn.XLOOKUP(DT19,対応表!$B:$B,対応表!$C:$C," ")</f>
        <v xml:space="preserve"> </v>
      </c>
      <c r="DV19" s="7" t="s">
        <v>1273</v>
      </c>
      <c r="DW19" s="6" t="str">
        <f>_xlfn.XLOOKUP(DV19,対応表!$B:$B,対応表!$C:$C," ")</f>
        <v xml:space="preserve"> </v>
      </c>
      <c r="DX19" s="7" t="s">
        <v>1274</v>
      </c>
      <c r="DY19" s="6" t="str">
        <f>_xlfn.XLOOKUP(DX19,対応表!$B:$B,対応表!$C:$C," ")</f>
        <v xml:space="preserve"> </v>
      </c>
      <c r="DZ19" s="7" t="s">
        <v>1275</v>
      </c>
      <c r="EA19" s="6" t="str">
        <f>_xlfn.XLOOKUP(DZ19,対応表!$B:$B,対応表!$C:$C," ")</f>
        <v xml:space="preserve"> </v>
      </c>
      <c r="EB19" s="7" t="s">
        <v>1276</v>
      </c>
      <c r="EC19" s="6" t="str">
        <f>_xlfn.XLOOKUP(EB19,対応表!$B:$B,対応表!$C:$C," ")</f>
        <v>再</v>
      </c>
      <c r="ED19" s="7" t="s">
        <v>1277</v>
      </c>
      <c r="EE19" s="6" t="str">
        <f>_xlfn.XLOOKUP(ED19,対応表!$B:$B,対応表!$C:$C," ")</f>
        <v xml:space="preserve"> </v>
      </c>
      <c r="EF19" s="7" t="s">
        <v>1278</v>
      </c>
      <c r="EG19" s="6" t="str">
        <f>_xlfn.XLOOKUP(EF19,対応表!$B:$B,対応表!$C:$C," ")</f>
        <v xml:space="preserve"> </v>
      </c>
      <c r="EH19" s="7" t="s">
        <v>1279</v>
      </c>
      <c r="EI19" s="6" t="str">
        <f>_xlfn.XLOOKUP(EH19,対応表!$B:$B,対応表!$C:$C," ")</f>
        <v xml:space="preserve"> </v>
      </c>
      <c r="EJ19" s="7" t="s">
        <v>1280</v>
      </c>
      <c r="EK19" s="6" t="str">
        <f>_xlfn.XLOOKUP(EJ19,対応表!$B:$B,対応表!$C:$C," ")</f>
        <v xml:space="preserve"> </v>
      </c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</row>
    <row r="20" spans="1:160" ht="30" customHeight="1" x14ac:dyDescent="0.4">
      <c r="A20" s="9" t="s">
        <v>1281</v>
      </c>
      <c r="B20" s="7" t="s">
        <v>1282</v>
      </c>
      <c r="C20" s="6" t="str">
        <f>_xlfn.XLOOKUP(B20,対応表!$B:$B,対応表!$C:$C," ")</f>
        <v>生</v>
      </c>
      <c r="D20" s="7" t="s">
        <v>1283</v>
      </c>
      <c r="E20" s="19" t="str" cm="1">
        <f t="array" ref="E20">_xlfn.XLOOKUP(D20,対応表!$B:B,対応表!$C:C,"で")</f>
        <v>で</v>
      </c>
      <c r="F20" s="7" t="s">
        <v>1284</v>
      </c>
      <c r="G20" s="6" t="str">
        <f>_xlfn.XLOOKUP(F20,対応表!$B:$B,対応表!$C:$C," ")</f>
        <v xml:space="preserve"> </v>
      </c>
      <c r="H20" s="7" t="s">
        <v>1285</v>
      </c>
      <c r="I20" s="6" t="str">
        <f>_xlfn.XLOOKUP(H20,対応表!$B:$B,対応表!$C:$C,"で")</f>
        <v>で</v>
      </c>
      <c r="J20" s="7" t="s">
        <v>1286</v>
      </c>
      <c r="K20" s="6" t="str">
        <f>_xlfn.XLOOKUP(J20,対応表!$B:$B,対応表!$C:$C," ")</f>
        <v>さ</v>
      </c>
      <c r="L20" s="7" t="s">
        <v>1287</v>
      </c>
      <c r="M20" s="6" t="str">
        <f>_xlfn.XLOOKUP(L20,対応表!$B:$B,対応表!$C:$C," ")</f>
        <v>日</v>
      </c>
      <c r="N20" s="7" t="s">
        <v>1288</v>
      </c>
      <c r="O20" s="6" t="str">
        <f>_xlfn.XLOOKUP(N20,対応表!$B:$B,対応表!$C:$C," ")</f>
        <v>ず</v>
      </c>
      <c r="P20" s="7" t="s">
        <v>1289</v>
      </c>
      <c r="Q20" s="6" t="str">
        <f>_xlfn.XLOOKUP(P20,対応表!$B:$B,対応表!$C:$C," ")</f>
        <v>ち</v>
      </c>
      <c r="R20" s="7" t="s">
        <v>1290</v>
      </c>
      <c r="S20" s="6" t="str">
        <f>_xlfn.XLOOKUP(R20,対応表!$B:$B,対応表!$C:$C," ")</f>
        <v xml:space="preserve"> </v>
      </c>
      <c r="T20" s="7" t="s">
        <v>1291</v>
      </c>
      <c r="U20" s="6" t="str">
        <f>_xlfn.XLOOKUP(T20,対応表!$B:$B,対応表!$C:$C," ")</f>
        <v xml:space="preserve"> </v>
      </c>
      <c r="V20" s="7" t="s">
        <v>1292</v>
      </c>
      <c r="W20" s="6" t="str">
        <f>_xlfn.XLOOKUP(V20,対応表!$B:$B,対応表!$C:$C," ")</f>
        <v xml:space="preserve"> </v>
      </c>
      <c r="X20" s="7" t="s">
        <v>1293</v>
      </c>
      <c r="Y20" s="6" t="str">
        <f>_xlfn.XLOOKUP(X20,対応表!$B:$B,対応表!$C:$C," ")</f>
        <v xml:space="preserve"> </v>
      </c>
      <c r="Z20" s="7" t="s">
        <v>1294</v>
      </c>
      <c r="AA20" s="6" t="str">
        <f>_xlfn.XLOOKUP(Z20,対応表!$B:$B,対応表!$C:$C," ")</f>
        <v xml:space="preserve"> </v>
      </c>
      <c r="AB20" s="7" t="s">
        <v>1295</v>
      </c>
      <c r="AC20" s="6" t="str">
        <f>_xlfn.XLOOKUP(AB20,対応表!$B:$B,対応表!$C:$C," ")</f>
        <v>ひ</v>
      </c>
      <c r="AD20" s="7" t="s">
        <v>1296</v>
      </c>
      <c r="AE20" s="6" t="str">
        <f>_xlfn.XLOOKUP(AD20,対応表!$B:$B,対応表!$C:$C," ")</f>
        <v xml:space="preserve"> </v>
      </c>
      <c r="AF20" s="7" t="s">
        <v>1297</v>
      </c>
      <c r="AG20" s="6" t="str">
        <f>_xlfn.XLOOKUP(AF20,対応表!$B:$B,対応表!$C:$C," ")</f>
        <v xml:space="preserve"> </v>
      </c>
      <c r="AH20" s="7" t="s">
        <v>1298</v>
      </c>
      <c r="AI20" s="6" t="str">
        <f>_xlfn.XLOOKUP(AH20,対応表!$B:$B,対応表!$C:$C," ")</f>
        <v xml:space="preserve"> </v>
      </c>
      <c r="AJ20" s="7" t="s">
        <v>1299</v>
      </c>
      <c r="AK20" s="6" t="str">
        <f>_xlfn.XLOOKUP(AJ20,対応表!$B:$B,対応表!$C:$C," ")</f>
        <v xml:space="preserve"> </v>
      </c>
      <c r="AL20" s="7" t="s">
        <v>1300</v>
      </c>
      <c r="AM20" s="6" t="str">
        <f>_xlfn.XLOOKUP(AL20,対応表!$B:$B,対応表!$C:$C," ")</f>
        <v xml:space="preserve"> </v>
      </c>
      <c r="AN20" s="7" t="s">
        <v>1301</v>
      </c>
      <c r="AO20" s="6" t="str">
        <f>_xlfn.XLOOKUP(AN20,対応表!$B:$B,対応表!$C:$C," ")</f>
        <v xml:space="preserve"> </v>
      </c>
      <c r="AP20" s="7" t="s">
        <v>1302</v>
      </c>
      <c r="AQ20" s="6" t="str">
        <f>_xlfn.XLOOKUP(AP20,対応表!$B:$B,対応表!$C:$C," ")</f>
        <v xml:space="preserve"> </v>
      </c>
      <c r="AR20" s="7" t="s">
        <v>1303</v>
      </c>
      <c r="AS20" s="6" t="str">
        <f>_xlfn.XLOOKUP(AR20,対応表!$B:$B,対応表!$C:$C," ")</f>
        <v xml:space="preserve"> </v>
      </c>
      <c r="AT20" s="7" t="s">
        <v>1304</v>
      </c>
      <c r="AU20" s="6" t="str">
        <f>_xlfn.XLOOKUP(AT20,対応表!$B:$B,対応表!$C:$C," ")</f>
        <v xml:space="preserve"> </v>
      </c>
      <c r="AV20" s="17" t="s">
        <v>1305</v>
      </c>
      <c r="AW20" s="6" t="str">
        <f>_xlfn.XLOOKUP(AV20,対応表!$B:$B,対応表!$C:$C," ")</f>
        <v xml:space="preserve"> </v>
      </c>
      <c r="AX20" s="7" t="s">
        <v>1306</v>
      </c>
      <c r="AY20" s="6" t="str">
        <f>_xlfn.XLOOKUP(AX20,対応表!$B:$B,対応表!$C:$C," ")</f>
        <v xml:space="preserve"> </v>
      </c>
      <c r="AZ20" s="7" t="s">
        <v>1307</v>
      </c>
      <c r="BA20" s="6" t="str">
        <f>_xlfn.XLOOKUP(AZ20,対応表!$B:$B,対応表!$C:$C," ")</f>
        <v xml:space="preserve"> </v>
      </c>
      <c r="BB20" s="7" t="s">
        <v>1308</v>
      </c>
      <c r="BC20" s="6" t="str">
        <f>_xlfn.XLOOKUP(BB20,対応表!$B:$B,対応表!$C:$C," ")</f>
        <v>小</v>
      </c>
      <c r="BD20" s="7" t="s">
        <v>1309</v>
      </c>
      <c r="BE20" s="6" t="str">
        <f>_xlfn.XLOOKUP(BD20,対応表!$B:$B,対応表!$C:$C," ")</f>
        <v xml:space="preserve"> </v>
      </c>
      <c r="BF20" s="7" t="s">
        <v>1310</v>
      </c>
      <c r="BG20" s="6" t="str">
        <f>_xlfn.XLOOKUP(BF20,対応表!$B:$B,対応表!$C:$C," ")</f>
        <v xml:space="preserve"> </v>
      </c>
      <c r="BH20" s="7" t="s">
        <v>1311</v>
      </c>
      <c r="BI20" s="6" t="str">
        <f>_xlfn.XLOOKUP(BH20,対応表!$B:$B,対応表!$C:$C," ")</f>
        <v xml:space="preserve"> </v>
      </c>
      <c r="BJ20" s="7" t="s">
        <v>1312</v>
      </c>
      <c r="BK20" s="6" t="str">
        <f>_xlfn.XLOOKUP(BJ20,対応表!$B:$B,対応表!$C:$C," ")</f>
        <v xml:space="preserve"> </v>
      </c>
      <c r="BL20" s="7" t="s">
        <v>1313</v>
      </c>
      <c r="BM20" s="6" t="str">
        <f>_xlfn.XLOOKUP(BL20,対応表!$B:$B,対応表!$C:$C," ")</f>
        <v xml:space="preserve"> </v>
      </c>
      <c r="BN20" s="7" t="s">
        <v>1314</v>
      </c>
      <c r="BO20" s="6" t="str">
        <f>_xlfn.XLOOKUP(BN20,対応表!$B:$B,対応表!$C:$C," ")</f>
        <v xml:space="preserve"> </v>
      </c>
      <c r="BP20" s="7" t="s">
        <v>1315</v>
      </c>
      <c r="BQ20" s="6" t="str">
        <f>_xlfn.XLOOKUP(BP20,対応表!$B:$B,対応表!$C:$C," ")</f>
        <v xml:space="preserve"> </v>
      </c>
      <c r="BR20" s="7" t="s">
        <v>1316</v>
      </c>
      <c r="BS20" s="6" t="str">
        <f>_xlfn.XLOOKUP(BR20,対応表!$B:$B,対応表!$C:$C," ")</f>
        <v xml:space="preserve"> </v>
      </c>
      <c r="BT20" s="7" t="s">
        <v>1317</v>
      </c>
      <c r="BU20" s="6" t="str">
        <f>_xlfn.XLOOKUP(BT20,対応表!$B:$B,対応表!$C:$C," ")</f>
        <v xml:space="preserve"> </v>
      </c>
      <c r="BV20" s="7" t="s">
        <v>1318</v>
      </c>
      <c r="BW20" s="6" t="str">
        <f>_xlfn.XLOOKUP(BV20,対応表!$B:$B,対応表!$C:$C," ")</f>
        <v xml:space="preserve"> </v>
      </c>
      <c r="BX20" s="7" t="s">
        <v>1319</v>
      </c>
      <c r="BY20" s="6" t="str">
        <f>_xlfn.XLOOKUP(BX20,対応表!$B:$B,対応表!$C:$C," ")</f>
        <v xml:space="preserve"> </v>
      </c>
      <c r="BZ20" s="7" t="s">
        <v>1320</v>
      </c>
      <c r="CA20" s="6" t="str">
        <f>_xlfn.XLOOKUP(BZ20,対応表!$B:$B,対応表!$C:$C," ")</f>
        <v xml:space="preserve"> </v>
      </c>
      <c r="CB20" s="7" t="s">
        <v>1321</v>
      </c>
      <c r="CC20" s="6" t="str">
        <f>_xlfn.XLOOKUP(CB20,対応表!$B:$B,対応表!$C:$C," ")</f>
        <v xml:space="preserve"> </v>
      </c>
      <c r="CD20" s="7" t="s">
        <v>1322</v>
      </c>
      <c r="CE20" s="6" t="str">
        <f>_xlfn.XLOOKUP(CD20,対応表!$B:$B,対応表!$C:$C," ")</f>
        <v xml:space="preserve"> </v>
      </c>
      <c r="CF20" s="7" t="s">
        <v>1323</v>
      </c>
      <c r="CG20" s="6" t="str">
        <f>_xlfn.XLOOKUP(CF20,対応表!$B:$B,対応表!$C:$C," ")</f>
        <v xml:space="preserve"> </v>
      </c>
      <c r="CH20" s="7" t="s">
        <v>1324</v>
      </c>
      <c r="CI20" s="6" t="str">
        <f>_xlfn.XLOOKUP(CH20,対応表!$B:$B,対応表!$C:$C," ")</f>
        <v xml:space="preserve"> </v>
      </c>
      <c r="CJ20" s="7" t="s">
        <v>1325</v>
      </c>
      <c r="CK20" s="6" t="str">
        <f>_xlfn.XLOOKUP(CJ20,対応表!$B:$B,対応表!$C:$C," ")</f>
        <v xml:space="preserve"> </v>
      </c>
      <c r="CL20" s="7" t="s">
        <v>1326</v>
      </c>
      <c r="CM20" s="6" t="str">
        <f>_xlfn.XLOOKUP(CL20,対応表!$B:$B,対応表!$C:$C," ")</f>
        <v xml:space="preserve"> </v>
      </c>
      <c r="CN20" s="7" t="s">
        <v>1327</v>
      </c>
      <c r="CO20" s="6" t="str">
        <f>_xlfn.XLOOKUP(CN20,対応表!$B:$B,対応表!$C:$C," ")</f>
        <v xml:space="preserve"> </v>
      </c>
      <c r="CP20" s="7" t="s">
        <v>1328</v>
      </c>
      <c r="CQ20" s="6" t="str">
        <f>_xlfn.XLOOKUP(CP20,対応表!$B:$B,対応表!$C:$C," ")</f>
        <v xml:space="preserve"> </v>
      </c>
      <c r="CR20" s="7" t="s">
        <v>1329</v>
      </c>
      <c r="CS20" s="6" t="str">
        <f>_xlfn.XLOOKUP(CR20,対応表!$B:$B,対応表!$C:$C," ")</f>
        <v xml:space="preserve"> </v>
      </c>
      <c r="CT20" s="7" t="s">
        <v>1330</v>
      </c>
      <c r="CU20" s="6" t="str">
        <f>_xlfn.XLOOKUP(CT20,対応表!$B:$B,対応表!$C:$C," ")</f>
        <v xml:space="preserve"> </v>
      </c>
      <c r="CV20" s="7" t="s">
        <v>1331</v>
      </c>
      <c r="CW20" s="6" t="str">
        <f>_xlfn.XLOOKUP(CV20,対応表!$B:$B,対応表!$C:$C," ")</f>
        <v xml:space="preserve"> </v>
      </c>
      <c r="CX20" s="7" t="s">
        <v>1332</v>
      </c>
      <c r="CY20" s="6" t="str">
        <f>_xlfn.XLOOKUP(CX20,対応表!$B:$B,対応表!$C:$C," ")</f>
        <v xml:space="preserve"> </v>
      </c>
      <c r="CZ20" s="7" t="s">
        <v>1333</v>
      </c>
      <c r="DA20" s="6" t="str">
        <f>_xlfn.XLOOKUP(CZ20,対応表!$B:$B,対応表!$C:$C," ")</f>
        <v xml:space="preserve"> </v>
      </c>
      <c r="DB20" s="7" t="s">
        <v>1334</v>
      </c>
      <c r="DC20" s="6" t="str">
        <f>_xlfn.XLOOKUP(DB20,対応表!$B:$B,対応表!$C:$C," ")</f>
        <v xml:space="preserve"> </v>
      </c>
      <c r="DD20" s="7" t="s">
        <v>1335</v>
      </c>
      <c r="DE20" s="6" t="str">
        <f>_xlfn.XLOOKUP(DD20,対応表!$B:$B,対応表!$C:$C," ")</f>
        <v xml:space="preserve"> </v>
      </c>
      <c r="DF20" s="7" t="s">
        <v>1336</v>
      </c>
      <c r="DG20" s="6" t="str">
        <f>_xlfn.XLOOKUP(DF20,対応表!$B:$B,対応表!$C:$C," ")</f>
        <v xml:space="preserve"> </v>
      </c>
      <c r="DH20" s="7" t="s">
        <v>1337</v>
      </c>
      <c r="DI20" s="6" t="str">
        <f>_xlfn.XLOOKUP(DH20,対応表!$B:$B,対応表!$C:$C," ")</f>
        <v xml:space="preserve"> </v>
      </c>
      <c r="DJ20" s="7" t="s">
        <v>1338</v>
      </c>
      <c r="DK20" s="6" t="str">
        <f>_xlfn.XLOOKUP(DJ20,対応表!$B:$B,対応表!$C:$C," ")</f>
        <v xml:space="preserve"> </v>
      </c>
      <c r="DL20" s="7" t="s">
        <v>1339</v>
      </c>
      <c r="DM20" s="6" t="str">
        <f>_xlfn.XLOOKUP(DL20,対応表!$B:$B,対応表!$C:$C," ")</f>
        <v xml:space="preserve"> </v>
      </c>
      <c r="DN20" s="7" t="s">
        <v>1340</v>
      </c>
      <c r="DO20" s="6" t="str">
        <f>_xlfn.XLOOKUP(DN20,対応表!$B:$B,対応表!$C:$C," ")</f>
        <v xml:space="preserve"> </v>
      </c>
      <c r="DP20" s="7" t="s">
        <v>1341</v>
      </c>
      <c r="DQ20" s="6" t="str">
        <f>_xlfn.XLOOKUP(DP20,対応表!$B:$B,対応表!$C:$C," ")</f>
        <v xml:space="preserve"> </v>
      </c>
      <c r="DR20" s="7" t="s">
        <v>1342</v>
      </c>
      <c r="DS20" s="6" t="str">
        <f>_xlfn.XLOOKUP(DR20,対応表!$B:$B,対応表!$C:$C," ")</f>
        <v>化</v>
      </c>
      <c r="DT20" s="7" t="s">
        <v>1343</v>
      </c>
      <c r="DU20" s="6" t="str">
        <f>_xlfn.XLOOKUP(DT20,対応表!$B:$B,対応表!$C:$C," ")</f>
        <v xml:space="preserve"> </v>
      </c>
      <c r="DV20" s="7" t="s">
        <v>1344</v>
      </c>
      <c r="DW20" s="6" t="str">
        <f>_xlfn.XLOOKUP(DV20,対応表!$B:$B,対応表!$C:$C," ")</f>
        <v xml:space="preserve"> </v>
      </c>
      <c r="DX20" s="7" t="s">
        <v>1345</v>
      </c>
      <c r="DY20" s="6" t="str">
        <f>_xlfn.XLOOKUP(DX20,対応表!$B:$B,対応表!$C:$C," ")</f>
        <v xml:space="preserve"> </v>
      </c>
      <c r="DZ20" s="7" t="s">
        <v>1346</v>
      </c>
      <c r="EA20" s="6" t="str">
        <f>_xlfn.XLOOKUP(DZ20,対応表!$B:$B,対応表!$C:$C," ")</f>
        <v xml:space="preserve"> </v>
      </c>
      <c r="EB20" s="7" t="s">
        <v>1347</v>
      </c>
      <c r="EC20" s="6" t="str">
        <f>_xlfn.XLOOKUP(EB20,対応表!$B:$B,対応表!$C:$C," ")</f>
        <v xml:space="preserve"> </v>
      </c>
      <c r="ED20" s="7" t="s">
        <v>1348</v>
      </c>
      <c r="EE20" s="6" t="str">
        <f>_xlfn.XLOOKUP(ED20,対応表!$B:$B,対応表!$C:$C," ")</f>
        <v xml:space="preserve"> </v>
      </c>
      <c r="EF20" s="7" t="s">
        <v>1349</v>
      </c>
      <c r="EG20" s="6" t="str">
        <f>_xlfn.XLOOKUP(EF20,対応表!$B:$B,対応表!$C:$C," ")</f>
        <v xml:space="preserve"> </v>
      </c>
      <c r="EH20" s="7" t="s">
        <v>1350</v>
      </c>
      <c r="EI20" s="6" t="str">
        <f>_xlfn.XLOOKUP(EH20,対応表!$B:$B,対応表!$C:$C," ")</f>
        <v xml:space="preserve"> </v>
      </c>
      <c r="EJ20" s="7" t="s">
        <v>1351</v>
      </c>
      <c r="EK20" s="6" t="str">
        <f>_xlfn.XLOOKUP(EJ20,対応表!$B:$B,対応表!$C:$C," ")</f>
        <v xml:space="preserve"> </v>
      </c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</row>
    <row r="21" spans="1:160" ht="30" customHeight="1" x14ac:dyDescent="0.4">
      <c r="A21" s="9" t="s">
        <v>1352</v>
      </c>
      <c r="B21" s="7" t="s">
        <v>1353</v>
      </c>
      <c r="C21" s="6" t="str">
        <f>_xlfn.XLOOKUP(B21,対応表!$B:$B,対応表!$C:$C,"き")</f>
        <v>き</v>
      </c>
      <c r="D21" s="7" t="s">
        <v>1354</v>
      </c>
      <c r="E21" s="19" t="str" cm="1">
        <f t="array" ref="E21">_xlfn.XLOOKUP(D21,対応表!$B:B,対応表!$C:C,"あ")</f>
        <v>あ</v>
      </c>
      <c r="F21" s="7" t="s">
        <v>1355</v>
      </c>
      <c r="G21" s="6" t="str">
        <f>_xlfn.XLOOKUP(F21,対応表!$B:$B,対応表!$C:$C," ")</f>
        <v xml:space="preserve"> </v>
      </c>
      <c r="H21" s="7" t="s">
        <v>1356</v>
      </c>
      <c r="I21" s="6" t="str">
        <f>_xlfn.XLOOKUP(H21,対応表!$B:$B,対応表!$C:$C," ")</f>
        <v>照</v>
      </c>
      <c r="J21" s="7" t="s">
        <v>1357</v>
      </c>
      <c r="K21" s="6" t="str">
        <f>_xlfn.XLOOKUP(J21,対応表!$B:$B,対応表!$C:$C," ")</f>
        <v>も</v>
      </c>
      <c r="L21" s="7" t="s">
        <v>1358</v>
      </c>
      <c r="M21" s="6" t="str">
        <f>_xlfn.XLOOKUP(L21,対応表!$B:$B,対応表!$C:$C,"常")</f>
        <v>常</v>
      </c>
      <c r="N21" s="7" t="s">
        <v>1359</v>
      </c>
      <c r="O21" s="6" t="str">
        <f>_xlfn.XLOOKUP(N21,対応表!$B:$B,対応表!$C:$C," ")</f>
        <v xml:space="preserve"> </v>
      </c>
      <c r="P21" s="7" t="s">
        <v>1360</v>
      </c>
      <c r="Q21" s="6" t="str">
        <f>_xlfn.XLOOKUP(P21,対応表!$B:$B,対応表!$C:$C," ")</f>
        <v>ょ</v>
      </c>
      <c r="R21" s="7" t="s">
        <v>1361</v>
      </c>
      <c r="S21" s="6" t="str">
        <f>_xlfn.XLOOKUP(R21,対応表!$B:$B,対応表!$C:$C," ")</f>
        <v xml:space="preserve"> </v>
      </c>
      <c r="T21" s="7" t="s">
        <v>1362</v>
      </c>
      <c r="U21" s="6" t="str">
        <f>_xlfn.XLOOKUP(T21,対応表!$B:$B,対応表!$C:$C," ")</f>
        <v xml:space="preserve"> </v>
      </c>
      <c r="V21" s="7" t="s">
        <v>1363</v>
      </c>
      <c r="W21" s="6" t="str">
        <f>_xlfn.XLOOKUP(V21,対応表!$B:$B,対応表!$C:$C," ")</f>
        <v>覗</v>
      </c>
      <c r="X21" s="7" t="s">
        <v>1364</v>
      </c>
      <c r="Y21" s="6" t="str">
        <f>_xlfn.XLOOKUP(X21,対応表!$B:$B,対応表!$C:$C," ")</f>
        <v>飾?</v>
      </c>
      <c r="Z21" s="7" t="s">
        <v>1365</v>
      </c>
      <c r="AA21" s="6" t="str">
        <f>_xlfn.XLOOKUP(Z21,対応表!$B:$B,対応表!$C:$C," ")</f>
        <v xml:space="preserve"> </v>
      </c>
      <c r="AB21" s="7" t="s">
        <v>1366</v>
      </c>
      <c r="AC21" s="6" t="str">
        <f>_xlfn.XLOOKUP(AB21,対応表!$B:$B,対応表!$C:$C," ")</f>
        <v>ゅ</v>
      </c>
      <c r="AD21" s="7" t="s">
        <v>1367</v>
      </c>
      <c r="AE21" s="6" t="str">
        <f>_xlfn.XLOOKUP(AD21,対応表!$B:$B,対応表!$C:$C," ")</f>
        <v xml:space="preserve"> </v>
      </c>
      <c r="AF21" s="7" t="s">
        <v>1368</v>
      </c>
      <c r="AG21" s="6" t="str">
        <f>_xlfn.XLOOKUP(AF21,対応表!$B:$B,対応表!$C:$C," ")</f>
        <v xml:space="preserve"> </v>
      </c>
      <c r="AH21" s="7" t="s">
        <v>1369</v>
      </c>
      <c r="AI21" s="6" t="str">
        <f>_xlfn.XLOOKUP(AH21,対応表!$B:$B,対応表!$C:$C," ")</f>
        <v>物</v>
      </c>
      <c r="AJ21" s="7" t="s">
        <v>1370</v>
      </c>
      <c r="AK21" s="6" t="str">
        <f>_xlfn.XLOOKUP(AJ21,対応表!$B:$B,対応表!$C:$C," ")</f>
        <v xml:space="preserve"> </v>
      </c>
      <c r="AL21" s="7" t="s">
        <v>1371</v>
      </c>
      <c r="AM21" s="6" t="str">
        <f>_xlfn.XLOOKUP(AL21,対応表!$B:$B,対応表!$C:$C," ")</f>
        <v xml:space="preserve"> </v>
      </c>
      <c r="AN21" s="7" t="s">
        <v>1372</v>
      </c>
      <c r="AO21" s="6" t="str">
        <f>_xlfn.XLOOKUP(AN21,対応表!$B:$B,対応表!$C:$C," ")</f>
        <v xml:space="preserve"> </v>
      </c>
      <c r="AP21" s="7" t="s">
        <v>1373</v>
      </c>
      <c r="AQ21" s="6" t="str">
        <f>_xlfn.XLOOKUP(AP21,対応表!$B:$B,対応表!$C:$C," ")</f>
        <v xml:space="preserve"> </v>
      </c>
      <c r="AR21" s="7" t="s">
        <v>1374</v>
      </c>
      <c r="AS21" s="6" t="str">
        <f>_xlfn.XLOOKUP(AR21,対応表!$B:$B,対応表!$C:$C," ")</f>
        <v xml:space="preserve"> </v>
      </c>
      <c r="AT21" s="7" t="s">
        <v>1375</v>
      </c>
      <c r="AU21" s="6" t="str">
        <f>_xlfn.XLOOKUP(AT21,対応表!$B:$B,対応表!$C:$C," ")</f>
        <v>ぽ</v>
      </c>
      <c r="AV21" s="7" t="s">
        <v>1376</v>
      </c>
      <c r="AW21" s="6" t="str">
        <f>_xlfn.XLOOKUP(AV21,対応表!$B:$B,対応表!$C:$C," ")</f>
        <v>感?</v>
      </c>
      <c r="AX21" s="7" t="s">
        <v>1377</v>
      </c>
      <c r="AY21" s="6" t="str">
        <f>_xlfn.XLOOKUP(AX21,対応表!$B:$B,対応表!$C:$C," ")</f>
        <v xml:space="preserve"> </v>
      </c>
      <c r="AZ21" s="7" t="s">
        <v>1378</v>
      </c>
      <c r="BA21" s="6" t="str">
        <f>_xlfn.XLOOKUP(AZ21,対応表!$B:$B,対応表!$C:$C," ")</f>
        <v xml:space="preserve"> </v>
      </c>
      <c r="BB21" s="7" t="s">
        <v>1379</v>
      </c>
      <c r="BC21" s="6" t="str">
        <f>_xlfn.XLOOKUP(BB21,対応表!$B:$B,対応表!$C:$C," ")</f>
        <v>楽</v>
      </c>
      <c r="BD21" s="7" t="s">
        <v>1380</v>
      </c>
      <c r="BE21" s="6" t="str">
        <f>_xlfn.XLOOKUP(BD21,対応表!$B:$B,対応表!$C:$C," ")</f>
        <v xml:space="preserve"> </v>
      </c>
      <c r="BF21" s="17" t="s">
        <v>1381</v>
      </c>
      <c r="BG21" s="6" t="str">
        <f>_xlfn.XLOOKUP(BF21,対応表!$B:$B,対応表!$C:$C," ")</f>
        <v xml:space="preserve"> </v>
      </c>
      <c r="BH21" s="7" t="s">
        <v>1382</v>
      </c>
      <c r="BI21" s="6" t="str">
        <f>_xlfn.XLOOKUP(BH21,対応表!$B:$B,対応表!$C:$C," ")</f>
        <v xml:space="preserve"> </v>
      </c>
      <c r="BJ21" s="7" t="s">
        <v>1383</v>
      </c>
      <c r="BK21" s="6" t="str">
        <f>_xlfn.XLOOKUP(BJ21,対応表!$B:$B,対応表!$C:$C," ")</f>
        <v xml:space="preserve"> </v>
      </c>
      <c r="BL21" s="7" t="s">
        <v>1384</v>
      </c>
      <c r="BM21" s="6" t="str">
        <f>_xlfn.XLOOKUP(BL21,対応表!$B:$B,対応表!$C:$C," ")</f>
        <v xml:space="preserve"> </v>
      </c>
      <c r="BN21" s="7" t="s">
        <v>1385</v>
      </c>
      <c r="BO21" s="6" t="str">
        <f>_xlfn.XLOOKUP(BN21,対応表!$B:$B,対応表!$C:$C," ")</f>
        <v xml:space="preserve"> </v>
      </c>
      <c r="BP21" s="7" t="s">
        <v>1386</v>
      </c>
      <c r="BQ21" s="6" t="str">
        <f>_xlfn.XLOOKUP(BP21,対応表!$B:$B,対応表!$C:$C," ")</f>
        <v xml:space="preserve"> </v>
      </c>
      <c r="BR21" s="7" t="s">
        <v>1387</v>
      </c>
      <c r="BS21" s="6" t="str">
        <f>_xlfn.XLOOKUP(BR21,対応表!$B:$B,対応表!$C:$C," ")</f>
        <v xml:space="preserve"> </v>
      </c>
      <c r="BT21" s="7" t="s">
        <v>1388</v>
      </c>
      <c r="BU21" s="6" t="str">
        <f>_xlfn.XLOOKUP(BT21,対応表!$B:$B,対応表!$C:$C," ")</f>
        <v xml:space="preserve"> </v>
      </c>
      <c r="BV21" s="7" t="s">
        <v>1389</v>
      </c>
      <c r="BW21" s="6" t="str">
        <f>_xlfn.XLOOKUP(BV21,対応表!$B:$B,対応表!$C:$C," ")</f>
        <v xml:space="preserve"> </v>
      </c>
      <c r="BX21" s="7" t="s">
        <v>1390</v>
      </c>
      <c r="BY21" s="6" t="str">
        <f>_xlfn.XLOOKUP(BX21,対応表!$B:$B,対応表!$C:$C," ")</f>
        <v xml:space="preserve"> </v>
      </c>
      <c r="BZ21" s="7" t="s">
        <v>1391</v>
      </c>
      <c r="CA21" s="6" t="str">
        <f>_xlfn.XLOOKUP(BZ21,対応表!$B:$B,対応表!$C:$C," ")</f>
        <v xml:space="preserve"> </v>
      </c>
      <c r="CB21" s="7" t="s">
        <v>1392</v>
      </c>
      <c r="CC21" s="6" t="str">
        <f>_xlfn.XLOOKUP(CB21,対応表!$B:$B,対応表!$C:$C," ")</f>
        <v xml:space="preserve"> </v>
      </c>
      <c r="CD21" s="7" t="s">
        <v>1393</v>
      </c>
      <c r="CE21" s="6" t="str">
        <f>_xlfn.XLOOKUP(CD21,対応表!$B:$B,対応表!$C:$C," ")</f>
        <v xml:space="preserve"> </v>
      </c>
      <c r="CF21" s="7" t="s">
        <v>1394</v>
      </c>
      <c r="CG21" s="6" t="str">
        <f>_xlfn.XLOOKUP(CF21,対応表!$B:$B,対応表!$C:$C," ")</f>
        <v xml:space="preserve"> </v>
      </c>
      <c r="CH21" s="7" t="s">
        <v>1395</v>
      </c>
      <c r="CI21" s="6" t="str">
        <f>_xlfn.XLOOKUP(CH21,対応表!$B:$B,対応表!$C:$C," ")</f>
        <v xml:space="preserve"> </v>
      </c>
      <c r="CJ21" s="7" t="s">
        <v>1396</v>
      </c>
      <c r="CK21" s="6" t="str">
        <f>_xlfn.XLOOKUP(CJ21,対応表!$B:$B,対応表!$C:$C," ")</f>
        <v xml:space="preserve"> </v>
      </c>
      <c r="CL21" s="7" t="s">
        <v>1397</v>
      </c>
      <c r="CM21" s="6" t="str">
        <f>_xlfn.XLOOKUP(CL21,対応表!$B:$B,対応表!$C:$C," ")</f>
        <v xml:space="preserve"> </v>
      </c>
      <c r="CN21" s="7" t="s">
        <v>1398</v>
      </c>
      <c r="CO21" s="6" t="str">
        <f>_xlfn.XLOOKUP(CN21,対応表!$B:$B,対応表!$C:$C," ")</f>
        <v xml:space="preserve"> </v>
      </c>
      <c r="CP21" s="7" t="s">
        <v>1399</v>
      </c>
      <c r="CQ21" s="6" t="str">
        <f>_xlfn.XLOOKUP(CP21,対応表!$B:$B,対応表!$C:$C," ")</f>
        <v xml:space="preserve"> </v>
      </c>
      <c r="CR21" s="7" t="s">
        <v>1400</v>
      </c>
      <c r="CS21" s="6" t="str">
        <f>_xlfn.XLOOKUP(CR21,対応表!$B:$B,対応表!$C:$C," ")</f>
        <v xml:space="preserve"> </v>
      </c>
      <c r="CT21" s="7" t="s">
        <v>1401</v>
      </c>
      <c r="CU21" s="6" t="str">
        <f>_xlfn.XLOOKUP(CT21,対応表!$B:$B,対応表!$C:$C," ")</f>
        <v xml:space="preserve"> </v>
      </c>
      <c r="CV21" s="7" t="s">
        <v>1402</v>
      </c>
      <c r="CW21" s="6" t="str">
        <f>_xlfn.XLOOKUP(CV21,対応表!$B:$B,対応表!$C:$C," ")</f>
        <v>我</v>
      </c>
      <c r="CX21" s="7" t="s">
        <v>1403</v>
      </c>
      <c r="CY21" s="6" t="str">
        <f>_xlfn.XLOOKUP(CX21,対応表!$B:$B,対応表!$C:$C," ")</f>
        <v xml:space="preserve"> </v>
      </c>
      <c r="CZ21" s="7" t="s">
        <v>1404</v>
      </c>
      <c r="DA21" s="6" t="str">
        <f>_xlfn.XLOOKUP(CZ21,対応表!$B:$B,対応表!$C:$C," ")</f>
        <v xml:space="preserve"> </v>
      </c>
      <c r="DB21" s="7" t="s">
        <v>1405</v>
      </c>
      <c r="DC21" s="6" t="str">
        <f>_xlfn.XLOOKUP(DB21,対応表!$B:$B,対応表!$C:$C," ")</f>
        <v xml:space="preserve"> </v>
      </c>
      <c r="DD21" s="7" t="s">
        <v>1406</v>
      </c>
      <c r="DE21" s="6" t="str">
        <f>_xlfn.XLOOKUP(DD21,対応表!$B:$B,対応表!$C:$C," ")</f>
        <v xml:space="preserve"> </v>
      </c>
      <c r="DF21" s="7" t="s">
        <v>1407</v>
      </c>
      <c r="DG21" s="6" t="str">
        <f>_xlfn.XLOOKUP(DF21,対応表!$B:$B,対応表!$C:$C," ")</f>
        <v xml:space="preserve"> </v>
      </c>
      <c r="DH21" s="7" t="s">
        <v>1408</v>
      </c>
      <c r="DI21" s="6" t="str">
        <f>_xlfn.XLOOKUP(DH21,対応表!$B:$B,対応表!$C:$C," ")</f>
        <v xml:space="preserve"> </v>
      </c>
      <c r="DJ21" s="7" t="s">
        <v>1409</v>
      </c>
      <c r="DK21" s="6" t="str">
        <f>_xlfn.XLOOKUP(DJ21,対応表!$B:$B,対応表!$C:$C," ")</f>
        <v>加</v>
      </c>
      <c r="DL21" s="7" t="s">
        <v>1410</v>
      </c>
      <c r="DM21" s="6" t="str">
        <f>_xlfn.XLOOKUP(DL21,対応表!$B:$B,対応表!$C:$C," ")</f>
        <v>ゆ</v>
      </c>
      <c r="DN21" s="7" t="s">
        <v>1411</v>
      </c>
      <c r="DO21" s="6" t="str">
        <f>_xlfn.XLOOKUP(DN21,対応表!$B:$B,対応表!$C:$C," ")</f>
        <v>正?</v>
      </c>
      <c r="DP21" s="7" t="s">
        <v>1412</v>
      </c>
      <c r="DQ21" s="6" t="str">
        <f>_xlfn.XLOOKUP(DP21,対応表!$B:$B,対応表!$C:$C," ")</f>
        <v xml:space="preserve"> </v>
      </c>
      <c r="DR21" s="7" t="s">
        <v>1413</v>
      </c>
      <c r="DS21" s="6" t="str">
        <f>_xlfn.XLOOKUP(DR21,対応表!$B:$B,対応表!$C:$C," ")</f>
        <v xml:space="preserve"> </v>
      </c>
      <c r="DT21" s="7" t="s">
        <v>1414</v>
      </c>
      <c r="DU21" s="6" t="str">
        <f>_xlfn.XLOOKUP(DT21,対応表!$B:$B,対応表!$C:$C," ")</f>
        <v xml:space="preserve"> </v>
      </c>
      <c r="DV21" s="7" t="s">
        <v>1415</v>
      </c>
      <c r="DW21" s="6" t="str">
        <f>_xlfn.XLOOKUP(DV21,対応表!$B:$B,対応表!$C:$C," ")</f>
        <v xml:space="preserve"> </v>
      </c>
      <c r="DX21" s="7" t="s">
        <v>1416</v>
      </c>
      <c r="DY21" s="6" t="str">
        <f>_xlfn.XLOOKUP(DX21,対応表!$B:$B,対応表!$C:$C," ")</f>
        <v xml:space="preserve"> </v>
      </c>
      <c r="DZ21" s="7" t="s">
        <v>1417</v>
      </c>
      <c r="EA21" s="6" t="str">
        <f>_xlfn.XLOOKUP(DZ21,対応表!$B:$B,対応表!$C:$C," ")</f>
        <v xml:space="preserve"> </v>
      </c>
      <c r="EB21" s="7" t="s">
        <v>1418</v>
      </c>
      <c r="EC21" s="6" t="str">
        <f>_xlfn.XLOOKUP(EB21,対応表!$B:$B,対応表!$C:$C," ")</f>
        <v xml:space="preserve"> </v>
      </c>
      <c r="ED21" s="7" t="s">
        <v>1419</v>
      </c>
      <c r="EE21" s="6" t="str">
        <f>_xlfn.XLOOKUP(ED21,対応表!$B:$B,対応表!$C:$C," ")</f>
        <v xml:space="preserve"> </v>
      </c>
      <c r="EF21" s="7" t="s">
        <v>1420</v>
      </c>
      <c r="EG21" s="6" t="str">
        <f>_xlfn.XLOOKUP(EF21,対応表!$B:$B,対応表!$C:$C," ")</f>
        <v xml:space="preserve"> </v>
      </c>
      <c r="EH21" s="7" t="s">
        <v>1421</v>
      </c>
      <c r="EI21" s="6" t="str">
        <f>_xlfn.XLOOKUP(EH21,対応表!$B:$B,対応表!$C:$C," ")</f>
        <v xml:space="preserve"> </v>
      </c>
      <c r="EJ21" s="7" t="s">
        <v>1422</v>
      </c>
      <c r="EK21" s="6" t="str">
        <f>_xlfn.XLOOKUP(EJ21,対応表!$B:$B,対応表!$C:$C," ")</f>
        <v xml:space="preserve"> </v>
      </c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</row>
    <row r="22" spans="1:160" ht="30" customHeight="1" x14ac:dyDescent="0.4">
      <c r="A22" s="9" t="s">
        <v>1423</v>
      </c>
      <c r="B22" s="7" t="s">
        <v>1424</v>
      </c>
      <c r="C22" s="6" t="str">
        <f>_xlfn.XLOOKUP(B22,対応表!$B:$B,対応表!$C:$C,"延")</f>
        <v>延?</v>
      </c>
      <c r="D22" s="7" t="s">
        <v>1425</v>
      </c>
      <c r="E22" s="19" t="str" cm="1">
        <f t="array" ref="E22">_xlfn.XLOOKUP(D22,対応表!$B:B,対応表!$C:C,"る")</f>
        <v>る</v>
      </c>
      <c r="F22" s="7" t="s">
        <v>1426</v>
      </c>
      <c r="G22" s="6" t="str">
        <f>_xlfn.XLOOKUP(F22,対応表!$B:$B,対応表!$C:$C," ")</f>
        <v>影</v>
      </c>
      <c r="H22" s="7" t="s">
        <v>1427</v>
      </c>
      <c r="I22" s="6" t="str">
        <f>_xlfn.XLOOKUP(H22,対応表!$B:$B,対応表!$C:$C," ")</f>
        <v>ら</v>
      </c>
      <c r="J22" s="7" t="s">
        <v>1428</v>
      </c>
      <c r="K22" s="22" t="str">
        <f>_xlfn.XLOOKUP(J22,対応表!$B:$B,対応表!$C:$C,"な")</f>
        <v>な</v>
      </c>
      <c r="L22" s="7" t="s">
        <v>1429</v>
      </c>
      <c r="M22" s="6" t="str">
        <f>_xlfn.XLOOKUP(L22,対応表!$B:$B,対応表!$C:$C,"の")</f>
        <v>の</v>
      </c>
      <c r="N22" s="7" t="s">
        <v>1430</v>
      </c>
      <c r="O22" s="6" t="str">
        <f>_xlfn.XLOOKUP(N22,対応表!$B:$B,対応表!$C:$C," ")</f>
        <v xml:space="preserve"> </v>
      </c>
      <c r="P22" s="7" t="s">
        <v>1431</v>
      </c>
      <c r="Q22" s="6" t="str">
        <f>_xlfn.XLOOKUP(P22,対応表!$B:$B,対応表!$C:$C,"う")</f>
        <v>う</v>
      </c>
      <c r="R22" s="7" t="s">
        <v>1432</v>
      </c>
      <c r="S22" s="6" t="str">
        <f>_xlfn.XLOOKUP(R22,対応表!$B:$B,対応表!$C:$C," ")</f>
        <v>間</v>
      </c>
      <c r="T22" s="7" t="s">
        <v>1434</v>
      </c>
      <c r="U22" s="6" t="str">
        <f>_xlfn.XLOOKUP(T22,対応表!$B:$B,対応表!$C:$C," ")</f>
        <v xml:space="preserve"> </v>
      </c>
      <c r="V22" s="7" t="s">
        <v>1435</v>
      </c>
      <c r="W22" s="6" t="str">
        <f>_xlfn.XLOOKUP(V22,対応表!$B:$B,対応表!$C:$C," ")</f>
        <v xml:space="preserve"> </v>
      </c>
      <c r="X22" s="7" t="s">
        <v>1436</v>
      </c>
      <c r="Y22" s="6" t="str">
        <f>_xlfn.XLOOKUP(X22,対応表!$B:$B,対応表!$C:$C," ")</f>
        <v xml:space="preserve"> </v>
      </c>
      <c r="Z22" s="7" t="s">
        <v>1437</v>
      </c>
      <c r="AA22" s="6" t="str">
        <f>_xlfn.XLOOKUP(Z22,対応表!$B:$B,対応表!$C:$C," ")</f>
        <v xml:space="preserve"> </v>
      </c>
      <c r="AB22" s="7" t="s">
        <v>1438</v>
      </c>
      <c r="AC22" s="6" t="str">
        <f>_xlfn.XLOOKUP(AB22,対応表!$B:$B,対応表!$C:$C," ")</f>
        <v xml:space="preserve"> </v>
      </c>
      <c r="AD22" s="7" t="s">
        <v>1439</v>
      </c>
      <c r="AE22" s="6" t="str">
        <f>_xlfn.XLOOKUP(AD22,対応表!$B:$B,対応表!$C:$C," ")</f>
        <v xml:space="preserve"> </v>
      </c>
      <c r="AF22" s="7" t="s">
        <v>1440</v>
      </c>
      <c r="AG22" s="6" t="str">
        <f>_xlfn.XLOOKUP(AF22,対応表!$B:$B,対応表!$C:$C," ")</f>
        <v xml:space="preserve"> </v>
      </c>
      <c r="AH22" s="7" t="s">
        <v>1441</v>
      </c>
      <c r="AI22" s="6" t="str">
        <f>_xlfn.XLOOKUP(AH22,対応表!$B:$B,対応表!$C:$C," ")</f>
        <v xml:space="preserve"> </v>
      </c>
      <c r="AJ22" s="7" t="s">
        <v>1442</v>
      </c>
      <c r="AK22" s="6" t="str">
        <f>_xlfn.XLOOKUP(AJ22,対応表!$B:$B,対応表!$C:$C," ")</f>
        <v xml:space="preserve"> </v>
      </c>
      <c r="AL22" s="7" t="s">
        <v>1443</v>
      </c>
      <c r="AM22" s="6" t="str">
        <f>_xlfn.XLOOKUP(AL22,対応表!$B:$B,対応表!$C:$C," ")</f>
        <v xml:space="preserve"> </v>
      </c>
      <c r="AN22" s="7" t="s">
        <v>1444</v>
      </c>
      <c r="AO22" s="6" t="str">
        <f>_xlfn.XLOOKUP(AN22,対応表!$B:$B,対応表!$C:$C," ")</f>
        <v xml:space="preserve"> </v>
      </c>
      <c r="AP22" s="7" t="s">
        <v>1445</v>
      </c>
      <c r="AQ22" s="6" t="str">
        <f>_xlfn.XLOOKUP(AP22,対応表!$B:$B,対応表!$C:$C," ")</f>
        <v xml:space="preserve"> </v>
      </c>
      <c r="AR22" s="7" t="s">
        <v>1446</v>
      </c>
      <c r="AS22" s="6" t="str">
        <f>_xlfn.XLOOKUP(AR22,対応表!$B:$B,対応表!$C:$C," ")</f>
        <v xml:space="preserve"> </v>
      </c>
      <c r="AT22" s="7" t="s">
        <v>1447</v>
      </c>
      <c r="AU22" s="6" t="str">
        <f>_xlfn.XLOOKUP(AT22,対応表!$B:$B,対応表!$C:$C," ")</f>
        <v xml:space="preserve"> </v>
      </c>
      <c r="AV22" s="7" t="s">
        <v>1448</v>
      </c>
      <c r="AW22" s="6" t="str">
        <f>_xlfn.XLOOKUP(AV22,対応表!$B:$B,対応表!$C:$C," ")</f>
        <v xml:space="preserve"> </v>
      </c>
      <c r="AX22" s="7" t="s">
        <v>1449</v>
      </c>
      <c r="AY22" s="6" t="str">
        <f>_xlfn.XLOOKUP(AX22,対応表!$B:$B,対応表!$C:$C," ")</f>
        <v>塞?</v>
      </c>
      <c r="AZ22" s="7" t="s">
        <v>1450</v>
      </c>
      <c r="BA22" s="6" t="str">
        <f>_xlfn.XLOOKUP(AZ22,対応表!$B:$B,対応表!$C:$C," ")</f>
        <v xml:space="preserve"> </v>
      </c>
      <c r="BB22" s="7" t="s">
        <v>1451</v>
      </c>
      <c r="BC22" s="6" t="str">
        <f>_xlfn.XLOOKUP(BB22,対応表!$B:$B,対応表!$C:$C," ")</f>
        <v xml:space="preserve"> </v>
      </c>
      <c r="BD22" s="7" t="s">
        <v>1452</v>
      </c>
      <c r="BE22" s="6" t="str">
        <f>_xlfn.XLOOKUP(BD22,対応表!$B:$B,対応表!$C:$C," ")</f>
        <v>歩</v>
      </c>
      <c r="BF22" s="7" t="s">
        <v>1453</v>
      </c>
      <c r="BG22" s="6" t="str">
        <f>_xlfn.XLOOKUP(BF22,対応表!$B:$B,対応表!$C:$C," ")</f>
        <v xml:space="preserve"> </v>
      </c>
      <c r="BH22" s="7" t="s">
        <v>1454</v>
      </c>
      <c r="BI22" s="6" t="str">
        <f>_xlfn.XLOOKUP(BH22,対応表!$B:$B,対応表!$C:$C," ")</f>
        <v>[偗]?</v>
      </c>
      <c r="BJ22" s="17" t="s">
        <v>1455</v>
      </c>
      <c r="BK22" s="6" t="str">
        <f>_xlfn.XLOOKUP(BJ22,対応表!$B:$B,対応表!$C:$C," ")</f>
        <v xml:space="preserve"> </v>
      </c>
      <c r="BL22" s="7" t="s">
        <v>1456</v>
      </c>
      <c r="BM22" s="6" t="str">
        <f>_xlfn.XLOOKUP(BL22,対応表!$B:$B,対応表!$C:$C," ")</f>
        <v xml:space="preserve"> </v>
      </c>
      <c r="BN22" s="7" t="s">
        <v>1457</v>
      </c>
      <c r="BO22" s="6" t="str">
        <f>_xlfn.XLOOKUP(BN22,対応表!$B:$B,対応表!$C:$C," ")</f>
        <v xml:space="preserve"> </v>
      </c>
      <c r="BP22" s="17" t="s">
        <v>1458</v>
      </c>
      <c r="BQ22" s="6" t="str">
        <f>_xlfn.XLOOKUP(BP22,対応表!$B:$B,対応表!$C:$C," ")</f>
        <v xml:space="preserve"> </v>
      </c>
      <c r="BR22" s="7" t="s">
        <v>1459</v>
      </c>
      <c r="BS22" s="6" t="str">
        <f>_xlfn.XLOOKUP(BR22,対応表!$B:$B,対応表!$C:$C," ")</f>
        <v xml:space="preserve"> </v>
      </c>
      <c r="BT22" s="7" t="s">
        <v>1460</v>
      </c>
      <c r="BU22" s="6" t="str">
        <f>_xlfn.XLOOKUP(BT22,対応表!$B:$B,対応表!$C:$C," ")</f>
        <v xml:space="preserve"> </v>
      </c>
      <c r="BV22" s="7" t="s">
        <v>1461</v>
      </c>
      <c r="BW22" s="6" t="str">
        <f>_xlfn.XLOOKUP(BV22,対応表!$B:$B,対応表!$C:$C," ")</f>
        <v xml:space="preserve"> </v>
      </c>
      <c r="BX22" s="7" t="s">
        <v>1462</v>
      </c>
      <c r="BY22" s="6" t="str">
        <f>_xlfn.XLOOKUP(BX22,対応表!$B:$B,対応表!$C:$C," ")</f>
        <v xml:space="preserve"> </v>
      </c>
      <c r="BZ22" s="7" t="s">
        <v>1463</v>
      </c>
      <c r="CA22" s="6" t="str">
        <f>_xlfn.XLOOKUP(BZ22,対応表!$B:$B,対応表!$C:$C," ")</f>
        <v xml:space="preserve"> </v>
      </c>
      <c r="CB22" s="7" t="s">
        <v>1464</v>
      </c>
      <c r="CC22" s="6" t="str">
        <f>_xlfn.XLOOKUP(CB22,対応表!$B:$B,対応表!$C:$C," ")</f>
        <v xml:space="preserve"> </v>
      </c>
      <c r="CD22" s="7" t="s">
        <v>1465</v>
      </c>
      <c r="CE22" s="6" t="str">
        <f>_xlfn.XLOOKUP(CD22,対応表!$B:$B,対応表!$C:$C," ")</f>
        <v>恐</v>
      </c>
      <c r="CF22" s="7" t="s">
        <v>1466</v>
      </c>
      <c r="CG22" s="6" t="str">
        <f>_xlfn.XLOOKUP(CF22,対応表!$B:$B,対応表!$C:$C," ")</f>
        <v xml:space="preserve"> </v>
      </c>
      <c r="CH22" s="7" t="s">
        <v>1467</v>
      </c>
      <c r="CI22" s="6" t="str">
        <f>_xlfn.XLOOKUP(CH22,対応表!$B:$B,対応表!$C:$C," ")</f>
        <v>性</v>
      </c>
      <c r="CJ22" s="7" t="s">
        <v>1468</v>
      </c>
      <c r="CK22" s="6" t="str">
        <f>_xlfn.XLOOKUP(CJ22,対応表!$B:$B,対応表!$C:$C," ")</f>
        <v xml:space="preserve"> </v>
      </c>
      <c r="CL22" s="7" t="s">
        <v>1469</v>
      </c>
      <c r="CM22" s="6" t="str">
        <f>_xlfn.XLOOKUP(CL22,対応表!$B:$B,対応表!$C:$C," ")</f>
        <v xml:space="preserve"> </v>
      </c>
      <c r="CN22" s="7" t="s">
        <v>1470</v>
      </c>
      <c r="CO22" s="6" t="str">
        <f>_xlfn.XLOOKUP(CN22,対応表!$B:$B,対応表!$C:$C," ")</f>
        <v xml:space="preserve"> </v>
      </c>
      <c r="CP22" s="7" t="s">
        <v>1471</v>
      </c>
      <c r="CQ22" s="6" t="str">
        <f>_xlfn.XLOOKUP(CP22,対応表!$B:$B,対応表!$C:$C," ")</f>
        <v xml:space="preserve"> </v>
      </c>
      <c r="CR22" s="7" t="s">
        <v>1472</v>
      </c>
      <c r="CS22" s="6" t="str">
        <f>_xlfn.XLOOKUP(CR22,対応表!$B:$B,対応表!$C:$C," ")</f>
        <v xml:space="preserve"> </v>
      </c>
      <c r="CT22" s="7" t="s">
        <v>1473</v>
      </c>
      <c r="CU22" s="6" t="str">
        <f>_xlfn.XLOOKUP(CT22,対応表!$B:$B,対応表!$C:$C," ")</f>
        <v xml:space="preserve"> </v>
      </c>
      <c r="CV22" s="7" t="s">
        <v>1474</v>
      </c>
      <c r="CW22" s="6" t="str">
        <f>_xlfn.XLOOKUP(CV22,対応表!$B:$B,対応表!$C:$C," ")</f>
        <v xml:space="preserve"> </v>
      </c>
      <c r="CX22" s="7" t="s">
        <v>1475</v>
      </c>
      <c r="CY22" s="6" t="str">
        <f>_xlfn.XLOOKUP(CX22,対応表!$B:$B,対応表!$C:$C," ")</f>
        <v xml:space="preserve"> </v>
      </c>
      <c r="CZ22" s="17" t="s">
        <v>1476</v>
      </c>
      <c r="DA22" s="6" t="str">
        <f>_xlfn.XLOOKUP(CZ22,対応表!$B:$B,対応表!$C:$C," ")</f>
        <v xml:space="preserve"> </v>
      </c>
      <c r="DB22" s="7" t="s">
        <v>1477</v>
      </c>
      <c r="DC22" s="6" t="str">
        <f>_xlfn.XLOOKUP(DB22,対応表!$B:$B,対応表!$C:$C," ")</f>
        <v xml:space="preserve"> </v>
      </c>
      <c r="DD22" s="7" t="s">
        <v>1478</v>
      </c>
      <c r="DE22" s="6" t="str">
        <f>_xlfn.XLOOKUP(DD22,対応表!$B:$B,対応表!$C:$C," ")</f>
        <v xml:space="preserve"> </v>
      </c>
      <c r="DF22" s="7" t="s">
        <v>1479</v>
      </c>
      <c r="DG22" s="6" t="str">
        <f>_xlfn.XLOOKUP(DF22,対応表!$B:$B,対応表!$C:$C," ")</f>
        <v xml:space="preserve"> </v>
      </c>
      <c r="DH22" s="7" t="s">
        <v>1480</v>
      </c>
      <c r="DI22" s="6" t="str">
        <f>_xlfn.XLOOKUP(DH22,対応表!$B:$B,対応表!$C:$C," ")</f>
        <v xml:space="preserve"> </v>
      </c>
      <c r="DJ22" s="7" t="s">
        <v>1481</v>
      </c>
      <c r="DK22" s="6" t="str">
        <f>_xlfn.XLOOKUP(DJ22,対応表!$B:$B,対応表!$C:$C," ")</f>
        <v xml:space="preserve"> </v>
      </c>
      <c r="DL22" s="7" t="s">
        <v>1482</v>
      </c>
      <c r="DM22" s="6" t="str">
        <f>_xlfn.XLOOKUP(DL22,対応表!$B:$B,対応表!$C:$C," ")</f>
        <v xml:space="preserve"> </v>
      </c>
      <c r="DN22" s="7" t="s">
        <v>1483</v>
      </c>
      <c r="DO22" s="6" t="str">
        <f>_xlfn.XLOOKUP(DN22,対応表!$B:$B,対応表!$C:$C," ")</f>
        <v xml:space="preserve"> </v>
      </c>
      <c r="DP22" s="7" t="s">
        <v>1484</v>
      </c>
      <c r="DQ22" s="6" t="str">
        <f>_xlfn.XLOOKUP(DP22,対応表!$B:$B,対応表!$C:$C," ")</f>
        <v xml:space="preserve"> </v>
      </c>
      <c r="DR22" s="7" t="s">
        <v>1485</v>
      </c>
      <c r="DS22" s="6" t="str">
        <f>_xlfn.XLOOKUP(DR22,対応表!$B:$B,対応表!$C:$C," ")</f>
        <v xml:space="preserve"> </v>
      </c>
      <c r="DT22" s="7" t="s">
        <v>1486</v>
      </c>
      <c r="DU22" s="6" t="str">
        <f>_xlfn.XLOOKUP(DT22,対応表!$B:$B,対応表!$C:$C," ")</f>
        <v xml:space="preserve"> </v>
      </c>
      <c r="DV22" s="7" t="s">
        <v>1487</v>
      </c>
      <c r="DW22" s="6" t="str">
        <f>_xlfn.XLOOKUP(DV22,対応表!$B:$B,対応表!$C:$C," ")</f>
        <v xml:space="preserve"> </v>
      </c>
      <c r="DX22" s="7" t="s">
        <v>1488</v>
      </c>
      <c r="DY22" s="6" t="str">
        <f>_xlfn.XLOOKUP(DX22,対応表!$B:$B,対応表!$C:$C," ")</f>
        <v>次?</v>
      </c>
      <c r="DZ22" s="7" t="s">
        <v>1489</v>
      </c>
      <c r="EA22" s="6" t="str">
        <f>_xlfn.XLOOKUP(DZ22,対応表!$B:$B,対応表!$C:$C," ")</f>
        <v xml:space="preserve"> </v>
      </c>
      <c r="EB22" s="7" t="s">
        <v>1490</v>
      </c>
      <c r="EC22" s="6" t="str">
        <f>_xlfn.XLOOKUP(EB22,対応表!$B:$B,対応表!$C:$C," ")</f>
        <v xml:space="preserve"> </v>
      </c>
      <c r="ED22" s="7" t="s">
        <v>1491</v>
      </c>
      <c r="EE22" s="6" t="str">
        <f>_xlfn.XLOOKUP(ED22,対応表!$B:$B,対応表!$C:$C," ")</f>
        <v xml:space="preserve"> </v>
      </c>
      <c r="EF22" s="7" t="s">
        <v>1492</v>
      </c>
      <c r="EG22" s="6" t="str">
        <f>_xlfn.XLOOKUP(EF22,対応表!$B:$B,対応表!$C:$C," ")</f>
        <v xml:space="preserve"> </v>
      </c>
      <c r="EH22" s="7" t="s">
        <v>1493</v>
      </c>
      <c r="EI22" s="6" t="str">
        <f>_xlfn.XLOOKUP(EH22,対応表!$B:$B,対応表!$C:$C," ")</f>
        <v xml:space="preserve"> </v>
      </c>
      <c r="EJ22" s="7" t="s">
        <v>1494</v>
      </c>
      <c r="EK22" s="6" t="str">
        <f>_xlfn.XLOOKUP(EJ22,対応表!$B:$B,対応表!$C:$C," ")</f>
        <v xml:space="preserve"> </v>
      </c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</row>
    <row r="23" spans="1:160" ht="24.75" x14ac:dyDescent="0.4">
      <c r="A23" s="9"/>
      <c r="EJ23" s="4"/>
    </row>
    <row r="24" spans="1:160" x14ac:dyDescent="0.4">
      <c r="DP24" s="18"/>
      <c r="EH24" s="18"/>
    </row>
    <row r="25" spans="1:160" x14ac:dyDescent="0.4">
      <c r="D25" s="8"/>
    </row>
  </sheetData>
  <phoneticPr fontId="1"/>
  <conditionalFormatting sqref="A1:XFD1048576">
    <cfRule type="expression" dxfId="4" priority="3">
      <formula>RIGHT(A1,1)="?"</formula>
    </cfRule>
    <cfRule type="cellIs" dxfId="3" priority="4" operator="equal">
      <formula>" 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797E0507-C91C-4E67-B76A-00C6CA69B053}">
            <xm:f>COUNTIF(検索文字!$A:$A,INDIRECT(ADDRESS(ROW(),COLUMN()-1)))&gt;0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7" id="{ED619DF4-BB5E-40F5-B27F-1148CA627417}">
            <xm:f>COUNTIF(対応表!$B:$B,INDIRECT(ADDRESS(ROW(),COLUMN()-1)))&gt;0</xm:f>
            <x14:dxf>
              <font>
                <color theme="1"/>
              </font>
              <fill>
                <patternFill patternType="solid">
                  <bgColor theme="0" tint="-4.9989318521683403E-2"/>
                </patternFill>
              </fill>
            </x14:dxf>
          </x14:cfRule>
          <x14:cfRule type="expression" priority="8" id="{BBFABFCC-6185-482C-976F-D5FACE09FD7E}">
            <xm:f>COUNTIF(対応表!$B:$B,INDIRECT(ADDRESS(ROW(),COLUMN()-1)))=0</xm:f>
            <x14:dxf>
              <font>
                <color theme="1"/>
              </font>
              <fill>
                <patternFill patternType="solid">
                  <bgColor rgb="FFC1F0C8"/>
                </patternFill>
              </fill>
            </x14:dxf>
          </x14:cfRule>
          <xm:sqref>C3:C22 E3:E22 G3:G22 I3:I22 K3:K22 M3:M22 O3:O22 Q3:Q22 S3:S22 U3:U22 W3:W22 Y3:Y22 AA3:AA22 AC3:AC22 AE3:AE22 AG3:AG22 AI3:AI22 AK3:AK22 AM3:AM22 AO3:AO22 AQ3:AQ22 AS3:AS22 AU3:AU22 AW3:AW22 AY3:AY22 BA3:BA22 BC3:BC22 BE3:BE22 BG3:BG22 BI3:BI22 BK3:BK22 BM3:BM22 BO3:BO22 BQ3:BQ22 BS3:BS22 BU3:BU22 BW3:BW22 BY3:BY22 CA3:CA22 CC3:CC22 CE3:CE22 CG3:CG22 CI3:CI22 CK3:CK22 CM3:CM22 CO3:CO22 CQ3:CQ22 CS3:CS22 CU3:CU22 CW3:CW22 CY3:CY22 DA3:DA22 DC3:DC22 DE3:DE22 DG3:DG22 DI3:DI22 DK3:DK22 DM3:DM22 DO3:DO22 DQ3:DQ22 DS3:DS22 DU3:DU22 DW3:DW22 DY3:DY22 EA3:EA22 EC3:EC22 EE3:EE22 EG3:EG22 EI3:EI22 EK3:EK22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3841C-3E42-4AC2-9AD3-BA0FFE4A947C}">
  <dimension ref="A1:K19"/>
  <sheetViews>
    <sheetView zoomScale="130" zoomScaleNormal="130" workbookViewId="0">
      <selection activeCell="A3" sqref="A3:A11"/>
    </sheetView>
  </sheetViews>
  <sheetFormatPr defaultRowHeight="18.75" x14ac:dyDescent="0.4"/>
  <cols>
    <col min="1" max="3" width="9" style="1"/>
    <col min="4" max="4" width="9" style="37"/>
    <col min="5" max="11" width="9" style="1"/>
  </cols>
  <sheetData>
    <row r="1" spans="1:3" x14ac:dyDescent="0.4">
      <c r="A1" s="23" t="s">
        <v>1878</v>
      </c>
    </row>
    <row r="3" spans="1:3" x14ac:dyDescent="0.4">
      <c r="A3" s="1" t="s">
        <v>1142</v>
      </c>
    </row>
    <row r="4" spans="1:3" x14ac:dyDescent="0.4">
      <c r="A4" s="1" t="s">
        <v>312</v>
      </c>
    </row>
    <row r="5" spans="1:3" x14ac:dyDescent="0.4">
      <c r="A5" s="1" t="s">
        <v>892</v>
      </c>
    </row>
    <row r="6" spans="1:3" x14ac:dyDescent="0.4">
      <c r="A6" s="1" t="s">
        <v>153</v>
      </c>
    </row>
    <row r="7" spans="1:3" x14ac:dyDescent="0.4">
      <c r="A7" s="1" t="s">
        <v>75</v>
      </c>
    </row>
    <row r="8" spans="1:3" x14ac:dyDescent="0.4">
      <c r="A8" s="1" t="s">
        <v>997</v>
      </c>
    </row>
    <row r="9" spans="1:3" x14ac:dyDescent="0.4">
      <c r="A9" s="1" t="s">
        <v>1213</v>
      </c>
    </row>
    <row r="10" spans="1:3" x14ac:dyDescent="0.4">
      <c r="A10" s="1" t="s">
        <v>152</v>
      </c>
    </row>
    <row r="11" spans="1:3" x14ac:dyDescent="0.4">
      <c r="A11" s="1" t="s">
        <v>373</v>
      </c>
    </row>
    <row r="12" spans="1:3" ht="20.25" x14ac:dyDescent="0.4">
      <c r="C12" s="29"/>
    </row>
    <row r="13" spans="1:3" ht="20.25" x14ac:dyDescent="0.4">
      <c r="C13" s="28"/>
    </row>
    <row r="14" spans="1:3" ht="20.25" x14ac:dyDescent="0.4">
      <c r="C14" s="28"/>
    </row>
    <row r="16" spans="1:3" ht="20.25" x14ac:dyDescent="0.4">
      <c r="C16" s="28"/>
    </row>
    <row r="18" spans="3:3" ht="20.25" x14ac:dyDescent="0.4">
      <c r="C18" s="28"/>
    </row>
    <row r="19" spans="3:3" ht="20.25" x14ac:dyDescent="0.4">
      <c r="C19" s="29"/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5E931-1AEC-434D-81A1-3EA98DBB914E}">
  <dimension ref="B1:F106"/>
  <sheetViews>
    <sheetView topLeftCell="C1" zoomScale="85" zoomScaleNormal="85" workbookViewId="0">
      <pane ySplit="1" topLeftCell="A80" activePane="bottomLeft" state="frozen"/>
      <selection pane="bottomLeft" activeCell="F107" sqref="F107"/>
    </sheetView>
  </sheetViews>
  <sheetFormatPr defaultRowHeight="18.75" x14ac:dyDescent="0.4"/>
  <cols>
    <col min="2" max="2" width="19.25" style="35" bestFit="1" customWidth="1"/>
    <col min="3" max="3" width="19.25" style="36" bestFit="1" customWidth="1"/>
    <col min="4" max="4" width="12.875" style="36" bestFit="1" customWidth="1"/>
    <col min="5" max="5" width="48.25" style="36" bestFit="1" customWidth="1"/>
    <col min="6" max="6" width="15.25" style="36" bestFit="1" customWidth="1"/>
  </cols>
  <sheetData>
    <row r="1" spans="2:6" x14ac:dyDescent="0.4">
      <c r="B1" s="54" t="s">
        <v>2103</v>
      </c>
      <c r="C1" s="45" t="s">
        <v>2104</v>
      </c>
      <c r="D1" s="45" t="s">
        <v>2658</v>
      </c>
      <c r="E1" s="45" t="s">
        <v>2105</v>
      </c>
      <c r="F1" s="45" t="s">
        <v>2098</v>
      </c>
    </row>
    <row r="2" spans="2:6" x14ac:dyDescent="0.4">
      <c r="B2" s="38" t="s">
        <v>2100</v>
      </c>
      <c r="C2" s="36" t="s">
        <v>2101</v>
      </c>
      <c r="D2" s="36" t="s">
        <v>2697</v>
      </c>
      <c r="E2" s="36" t="s">
        <v>2102</v>
      </c>
      <c r="F2" s="36" t="s">
        <v>2316</v>
      </c>
    </row>
    <row r="3" spans="2:6" x14ac:dyDescent="0.4">
      <c r="B3" s="35" t="s">
        <v>2209</v>
      </c>
      <c r="C3" s="36" t="s">
        <v>2210</v>
      </c>
      <c r="D3" s="36" t="s">
        <v>2697</v>
      </c>
      <c r="E3" s="36" t="s">
        <v>2211</v>
      </c>
      <c r="F3" s="36" t="s">
        <v>2316</v>
      </c>
    </row>
    <row r="4" spans="2:6" x14ac:dyDescent="0.4">
      <c r="B4" s="35" t="s">
        <v>2212</v>
      </c>
      <c r="C4" s="36" t="s">
        <v>2213</v>
      </c>
      <c r="D4" s="36" t="s">
        <v>2697</v>
      </c>
      <c r="E4" s="36" t="s">
        <v>2214</v>
      </c>
      <c r="F4" s="36" t="s">
        <v>2316</v>
      </c>
    </row>
    <row r="5" spans="2:6" x14ac:dyDescent="0.4">
      <c r="B5" s="35" t="s">
        <v>2215</v>
      </c>
      <c r="C5" s="36" t="s">
        <v>2216</v>
      </c>
      <c r="D5" s="36" t="s">
        <v>2697</v>
      </c>
      <c r="E5" s="36" t="s">
        <v>2217</v>
      </c>
      <c r="F5" s="36" t="s">
        <v>2316</v>
      </c>
    </row>
    <row r="6" spans="2:6" x14ac:dyDescent="0.4">
      <c r="B6" s="35" t="s">
        <v>2218</v>
      </c>
      <c r="C6" s="36" t="s">
        <v>2219</v>
      </c>
      <c r="D6" s="36" t="s">
        <v>2697</v>
      </c>
      <c r="E6" s="36" t="s">
        <v>2220</v>
      </c>
      <c r="F6" s="36" t="s">
        <v>2316</v>
      </c>
    </row>
    <row r="7" spans="2:6" x14ac:dyDescent="0.4">
      <c r="B7" s="35" t="s">
        <v>2221</v>
      </c>
      <c r="C7" s="36" t="s">
        <v>2222</v>
      </c>
      <c r="D7" s="36" t="s">
        <v>2697</v>
      </c>
      <c r="E7" s="36" t="s">
        <v>2223</v>
      </c>
      <c r="F7" s="36" t="s">
        <v>2316</v>
      </c>
    </row>
    <row r="8" spans="2:6" x14ac:dyDescent="0.4">
      <c r="B8" s="35" t="s">
        <v>2224</v>
      </c>
      <c r="C8" s="36" t="s">
        <v>2039</v>
      </c>
      <c r="D8" s="36" t="s">
        <v>2697</v>
      </c>
      <c r="E8" s="36" t="s">
        <v>2225</v>
      </c>
      <c r="F8" s="36" t="s">
        <v>2316</v>
      </c>
    </row>
    <row r="9" spans="2:6" x14ac:dyDescent="0.4">
      <c r="B9" s="35" t="s">
        <v>2226</v>
      </c>
      <c r="C9" s="36" t="s">
        <v>2227</v>
      </c>
      <c r="D9" s="36" t="s">
        <v>2697</v>
      </c>
      <c r="E9" s="36" t="s">
        <v>2228</v>
      </c>
      <c r="F9" s="36" t="s">
        <v>2498</v>
      </c>
    </row>
    <row r="10" spans="2:6" x14ac:dyDescent="0.4">
      <c r="B10" s="35" t="s">
        <v>2229</v>
      </c>
      <c r="C10" s="36" t="s">
        <v>2037</v>
      </c>
      <c r="D10" s="36" t="s">
        <v>2697</v>
      </c>
      <c r="E10" s="36" t="s">
        <v>2230</v>
      </c>
      <c r="F10" s="36" t="s">
        <v>2316</v>
      </c>
    </row>
    <row r="11" spans="2:6" x14ac:dyDescent="0.4">
      <c r="B11" s="35" t="s">
        <v>2231</v>
      </c>
      <c r="C11" s="36" t="s">
        <v>2232</v>
      </c>
      <c r="D11" s="36" t="s">
        <v>2697</v>
      </c>
      <c r="E11" s="36" t="s">
        <v>2233</v>
      </c>
      <c r="F11" s="36" t="s">
        <v>2316</v>
      </c>
    </row>
    <row r="12" spans="2:6" x14ac:dyDescent="0.4">
      <c r="B12" s="39" t="s">
        <v>2234</v>
      </c>
      <c r="C12" s="40" t="s">
        <v>2235</v>
      </c>
      <c r="D12" s="40" t="s">
        <v>2697</v>
      </c>
      <c r="E12" s="40" t="s">
        <v>2233</v>
      </c>
      <c r="F12" s="40" t="s">
        <v>2317</v>
      </c>
    </row>
    <row r="13" spans="2:6" x14ac:dyDescent="0.4">
      <c r="B13" s="35" t="s">
        <v>2236</v>
      </c>
      <c r="C13" s="36" t="s">
        <v>2041</v>
      </c>
      <c r="D13" s="36" t="s">
        <v>2697</v>
      </c>
      <c r="E13" s="36" t="s">
        <v>2233</v>
      </c>
      <c r="F13" s="36" t="s">
        <v>2316</v>
      </c>
    </row>
    <row r="14" spans="2:6" x14ac:dyDescent="0.4">
      <c r="B14" s="35" t="s">
        <v>2314</v>
      </c>
      <c r="C14" s="36" t="s">
        <v>2315</v>
      </c>
      <c r="D14" s="36" t="s">
        <v>2697</v>
      </c>
      <c r="E14" s="36" t="s">
        <v>2233</v>
      </c>
      <c r="F14" s="36" t="s">
        <v>2316</v>
      </c>
    </row>
    <row r="15" spans="2:6" x14ac:dyDescent="0.4">
      <c r="B15" s="35" t="s">
        <v>2386</v>
      </c>
      <c r="C15" s="36" t="s">
        <v>2385</v>
      </c>
      <c r="D15" s="36" t="s">
        <v>2697</v>
      </c>
      <c r="E15" s="36" t="s">
        <v>2233</v>
      </c>
      <c r="F15" s="36" t="s">
        <v>2316</v>
      </c>
    </row>
    <row r="16" spans="2:6" x14ac:dyDescent="0.4">
      <c r="B16" s="35" t="s">
        <v>2387</v>
      </c>
      <c r="C16" s="36" t="s">
        <v>2388</v>
      </c>
      <c r="D16" s="36" t="s">
        <v>2697</v>
      </c>
      <c r="E16" s="36" t="s">
        <v>2233</v>
      </c>
      <c r="F16" s="36" t="s">
        <v>2316</v>
      </c>
    </row>
    <row r="17" spans="2:6" x14ac:dyDescent="0.4">
      <c r="B17" s="35" t="s">
        <v>2390</v>
      </c>
      <c r="C17" s="36" t="s">
        <v>2389</v>
      </c>
      <c r="D17" s="36" t="s">
        <v>2697</v>
      </c>
      <c r="E17" s="36" t="s">
        <v>2233</v>
      </c>
      <c r="F17" s="36" t="s">
        <v>2316</v>
      </c>
    </row>
    <row r="18" spans="2:6" x14ac:dyDescent="0.4">
      <c r="B18" s="35" t="s">
        <v>2062</v>
      </c>
      <c r="C18" s="36" t="s">
        <v>2391</v>
      </c>
      <c r="D18" s="36" t="s">
        <v>2697</v>
      </c>
      <c r="E18" s="36" t="s">
        <v>2233</v>
      </c>
      <c r="F18" s="36" t="s">
        <v>2316</v>
      </c>
    </row>
    <row r="19" spans="2:6" x14ac:dyDescent="0.4">
      <c r="B19" s="35" t="s">
        <v>2431</v>
      </c>
      <c r="C19" s="36" t="s">
        <v>2432</v>
      </c>
      <c r="D19" s="36" t="s">
        <v>2697</v>
      </c>
      <c r="E19" s="36" t="s">
        <v>2433</v>
      </c>
      <c r="F19" s="36" t="s">
        <v>2316</v>
      </c>
    </row>
    <row r="20" spans="2:6" x14ac:dyDescent="0.4">
      <c r="B20" s="44" t="s">
        <v>2514</v>
      </c>
      <c r="C20" s="36" t="s">
        <v>2497</v>
      </c>
      <c r="D20" s="36" t="s">
        <v>2697</v>
      </c>
      <c r="E20" s="36" t="s">
        <v>2233</v>
      </c>
      <c r="F20" s="36" t="s">
        <v>2316</v>
      </c>
    </row>
    <row r="21" spans="2:6" x14ac:dyDescent="0.4">
      <c r="B21" s="35" t="s">
        <v>2499</v>
      </c>
      <c r="C21" s="36" t="s">
        <v>2500</v>
      </c>
      <c r="D21" s="36" t="s">
        <v>2697</v>
      </c>
      <c r="E21" s="36" t="s">
        <v>2501</v>
      </c>
      <c r="F21" s="36" t="s">
        <v>2316</v>
      </c>
    </row>
    <row r="22" spans="2:6" x14ac:dyDescent="0.4">
      <c r="B22" s="35" t="s">
        <v>2502</v>
      </c>
      <c r="C22" s="36" t="s">
        <v>2503</v>
      </c>
      <c r="D22" s="36" t="s">
        <v>2697</v>
      </c>
      <c r="E22" s="36" t="s">
        <v>2504</v>
      </c>
      <c r="F22" s="36" t="s">
        <v>2316</v>
      </c>
    </row>
    <row r="23" spans="2:6" x14ac:dyDescent="0.4">
      <c r="B23" s="35" t="s">
        <v>2505</v>
      </c>
      <c r="C23" s="36" t="s">
        <v>2506</v>
      </c>
      <c r="D23" s="36" t="s">
        <v>2697</v>
      </c>
      <c r="E23" s="36" t="s">
        <v>2225</v>
      </c>
      <c r="F23" s="36" t="s">
        <v>2316</v>
      </c>
    </row>
    <row r="24" spans="2:6" x14ac:dyDescent="0.4">
      <c r="B24" s="35" t="s">
        <v>2507</v>
      </c>
      <c r="C24" s="36" t="s">
        <v>2508</v>
      </c>
      <c r="D24" s="36" t="s">
        <v>2697</v>
      </c>
      <c r="E24" s="36" t="s">
        <v>2233</v>
      </c>
      <c r="F24" s="36" t="s">
        <v>2316</v>
      </c>
    </row>
    <row r="25" spans="2:6" x14ac:dyDescent="0.4">
      <c r="B25" s="35" t="s">
        <v>2509</v>
      </c>
      <c r="C25" s="36" t="s">
        <v>2510</v>
      </c>
      <c r="D25" s="36" t="s">
        <v>2697</v>
      </c>
      <c r="E25" s="36" t="s">
        <v>2233</v>
      </c>
      <c r="F25" s="36" t="s">
        <v>2316</v>
      </c>
    </row>
    <row r="26" spans="2:6" x14ac:dyDescent="0.4">
      <c r="B26" s="35" t="s">
        <v>2511</v>
      </c>
      <c r="C26" s="36" t="s">
        <v>2512</v>
      </c>
      <c r="D26" s="36" t="s">
        <v>2697</v>
      </c>
      <c r="E26" s="36" t="s">
        <v>2513</v>
      </c>
      <c r="F26" s="36" t="s">
        <v>2316</v>
      </c>
    </row>
    <row r="27" spans="2:6" x14ac:dyDescent="0.4">
      <c r="B27" s="35" t="s">
        <v>2518</v>
      </c>
      <c r="C27" s="36" t="s">
        <v>2519</v>
      </c>
      <c r="D27" s="36" t="s">
        <v>2697</v>
      </c>
      <c r="E27" s="36" t="s">
        <v>2531</v>
      </c>
      <c r="F27" s="36" t="s">
        <v>2316</v>
      </c>
    </row>
    <row r="28" spans="2:6" x14ac:dyDescent="0.4">
      <c r="B28" s="35" t="s">
        <v>2520</v>
      </c>
      <c r="C28" s="36" t="s">
        <v>2521</v>
      </c>
      <c r="D28" s="36" t="s">
        <v>2697</v>
      </c>
      <c r="E28" s="36" t="s">
        <v>2524</v>
      </c>
      <c r="F28" s="36" t="s">
        <v>2316</v>
      </c>
    </row>
    <row r="29" spans="2:6" x14ac:dyDescent="0.4">
      <c r="B29" s="35" t="s">
        <v>2522</v>
      </c>
      <c r="C29" s="36" t="s">
        <v>2523</v>
      </c>
      <c r="D29" s="36" t="s">
        <v>2697</v>
      </c>
      <c r="E29" s="36" t="s">
        <v>2233</v>
      </c>
      <c r="F29" s="36" t="s">
        <v>2316</v>
      </c>
    </row>
    <row r="30" spans="2:6" x14ac:dyDescent="0.4">
      <c r="B30" s="35" t="s">
        <v>2525</v>
      </c>
      <c r="C30" s="36" t="s">
        <v>2526</v>
      </c>
      <c r="D30" s="36" t="s">
        <v>2697</v>
      </c>
      <c r="E30" s="36" t="s">
        <v>2220</v>
      </c>
      <c r="F30" s="36" t="s">
        <v>2316</v>
      </c>
    </row>
    <row r="31" spans="2:6" x14ac:dyDescent="0.4">
      <c r="B31" s="35" t="s">
        <v>2527</v>
      </c>
      <c r="C31" s="36" t="s">
        <v>2528</v>
      </c>
      <c r="D31" s="36" t="s">
        <v>2697</v>
      </c>
      <c r="E31" s="36" t="s">
        <v>2220</v>
      </c>
      <c r="F31" s="36" t="s">
        <v>2316</v>
      </c>
    </row>
    <row r="32" spans="2:6" x14ac:dyDescent="0.4">
      <c r="B32" s="35" t="s">
        <v>2529</v>
      </c>
      <c r="C32" s="36" t="s">
        <v>2530</v>
      </c>
      <c r="D32" s="36" t="s">
        <v>2697</v>
      </c>
      <c r="E32" s="36" t="s">
        <v>2531</v>
      </c>
      <c r="F32" s="36" t="s">
        <v>2316</v>
      </c>
    </row>
    <row r="33" spans="2:6" x14ac:dyDescent="0.4">
      <c r="B33" s="35" t="s">
        <v>2532</v>
      </c>
      <c r="C33" s="36" t="s">
        <v>2533</v>
      </c>
      <c r="D33" s="36" t="s">
        <v>2697</v>
      </c>
      <c r="E33" s="36" t="s">
        <v>2531</v>
      </c>
      <c r="F33" s="36" t="s">
        <v>2316</v>
      </c>
    </row>
    <row r="34" spans="2:6" x14ac:dyDescent="0.4">
      <c r="B34" s="39" t="s">
        <v>2534</v>
      </c>
      <c r="C34" s="40" t="s">
        <v>2535</v>
      </c>
      <c r="D34" s="40" t="s">
        <v>2697</v>
      </c>
      <c r="E34" s="40" t="s">
        <v>2233</v>
      </c>
      <c r="F34" s="40" t="s">
        <v>2317</v>
      </c>
    </row>
    <row r="35" spans="2:6" x14ac:dyDescent="0.4">
      <c r="B35" s="35" t="s">
        <v>2567</v>
      </c>
      <c r="C35" s="36" t="s">
        <v>2568</v>
      </c>
      <c r="D35" s="36" t="s">
        <v>2697</v>
      </c>
      <c r="E35" s="36" t="s">
        <v>2233</v>
      </c>
      <c r="F35" s="36" t="s">
        <v>2578</v>
      </c>
    </row>
    <row r="36" spans="2:6" x14ac:dyDescent="0.4">
      <c r="B36" s="35" t="s">
        <v>2645</v>
      </c>
      <c r="C36" s="36" t="s">
        <v>2585</v>
      </c>
      <c r="D36" s="36" t="s">
        <v>2697</v>
      </c>
      <c r="E36" s="36" t="s">
        <v>2233</v>
      </c>
      <c r="F36" s="36" t="s">
        <v>2316</v>
      </c>
    </row>
    <row r="37" spans="2:6" x14ac:dyDescent="0.4">
      <c r="B37" s="35" t="s">
        <v>2586</v>
      </c>
      <c r="C37" s="36" t="s">
        <v>2587</v>
      </c>
      <c r="D37" s="36" t="s">
        <v>2661</v>
      </c>
      <c r="E37" s="36" t="s">
        <v>2233</v>
      </c>
      <c r="F37" s="36" t="s">
        <v>2316</v>
      </c>
    </row>
    <row r="38" spans="2:6" x14ac:dyDescent="0.4">
      <c r="B38" s="35" t="s">
        <v>2588</v>
      </c>
      <c r="C38" s="36" t="s">
        <v>2589</v>
      </c>
      <c r="D38" s="36" t="s">
        <v>2697</v>
      </c>
      <c r="E38" s="36" t="s">
        <v>2233</v>
      </c>
      <c r="F38" s="36" t="s">
        <v>2316</v>
      </c>
    </row>
    <row r="39" spans="2:6" x14ac:dyDescent="0.4">
      <c r="B39" s="35" t="s">
        <v>2646</v>
      </c>
      <c r="C39" s="36" t="s">
        <v>2590</v>
      </c>
      <c r="D39" s="36" t="s">
        <v>2697</v>
      </c>
      <c r="E39" s="36" t="s">
        <v>2233</v>
      </c>
      <c r="F39" s="36" t="s">
        <v>2316</v>
      </c>
    </row>
    <row r="40" spans="2:6" x14ac:dyDescent="0.4">
      <c r="B40" s="35" t="s">
        <v>2647</v>
      </c>
      <c r="C40" s="36" t="s">
        <v>2591</v>
      </c>
      <c r="D40" s="36" t="s">
        <v>2697</v>
      </c>
      <c r="E40" s="36" t="s">
        <v>2233</v>
      </c>
      <c r="F40" s="36" t="s">
        <v>2316</v>
      </c>
    </row>
    <row r="41" spans="2:6" x14ac:dyDescent="0.4">
      <c r="B41" s="35" t="s">
        <v>2594</v>
      </c>
      <c r="C41" s="36" t="s">
        <v>2421</v>
      </c>
      <c r="D41" s="36" t="s">
        <v>2697</v>
      </c>
      <c r="F41" s="36" t="s">
        <v>2316</v>
      </c>
    </row>
    <row r="42" spans="2:6" x14ac:dyDescent="0.4">
      <c r="B42" s="35" t="s">
        <v>2595</v>
      </c>
      <c r="C42" s="36" t="s">
        <v>2596</v>
      </c>
      <c r="D42" s="36" t="s">
        <v>2697</v>
      </c>
      <c r="F42" s="36" t="s">
        <v>2316</v>
      </c>
    </row>
    <row r="43" spans="2:6" x14ac:dyDescent="0.4">
      <c r="B43" s="35" t="s">
        <v>2532</v>
      </c>
      <c r="C43" s="36" t="s">
        <v>2597</v>
      </c>
      <c r="D43" s="36" t="s">
        <v>2697</v>
      </c>
      <c r="F43" s="36" t="s">
        <v>2316</v>
      </c>
    </row>
    <row r="44" spans="2:6" x14ac:dyDescent="0.4">
      <c r="B44" s="35" t="s">
        <v>2598</v>
      </c>
      <c r="C44" s="36" t="s">
        <v>2599</v>
      </c>
      <c r="D44" s="36" t="s">
        <v>2697</v>
      </c>
      <c r="F44" s="36" t="s">
        <v>2316</v>
      </c>
    </row>
    <row r="45" spans="2:6" x14ac:dyDescent="0.4">
      <c r="B45" s="35" t="s">
        <v>1685</v>
      </c>
      <c r="C45" s="36" t="s">
        <v>2600</v>
      </c>
      <c r="D45" s="36" t="s">
        <v>2697</v>
      </c>
      <c r="F45" s="36" t="s">
        <v>2316</v>
      </c>
    </row>
    <row r="46" spans="2:6" x14ac:dyDescent="0.4">
      <c r="B46" s="35" t="s">
        <v>2601</v>
      </c>
      <c r="C46" s="36" t="s">
        <v>2602</v>
      </c>
      <c r="D46" s="36" t="s">
        <v>2697</v>
      </c>
      <c r="F46" s="36" t="s">
        <v>2316</v>
      </c>
    </row>
    <row r="47" spans="2:6" x14ac:dyDescent="0.4">
      <c r="B47" s="35" t="s">
        <v>2603</v>
      </c>
      <c r="C47" s="36" t="s">
        <v>2604</v>
      </c>
      <c r="D47" s="36" t="s">
        <v>2697</v>
      </c>
      <c r="F47" s="36" t="s">
        <v>2316</v>
      </c>
    </row>
    <row r="48" spans="2:6" x14ac:dyDescent="0.4">
      <c r="B48" s="35" t="s">
        <v>2605</v>
      </c>
      <c r="C48" s="36" t="s">
        <v>2606</v>
      </c>
      <c r="D48" s="36" t="s">
        <v>2697</v>
      </c>
      <c r="F48" s="36" t="s">
        <v>2316</v>
      </c>
    </row>
    <row r="49" spans="2:6" x14ac:dyDescent="0.4">
      <c r="B49" s="35" t="s">
        <v>2607</v>
      </c>
      <c r="C49" s="36" t="s">
        <v>2608</v>
      </c>
      <c r="D49" s="36" t="s">
        <v>2697</v>
      </c>
      <c r="F49" s="36" t="s">
        <v>2316</v>
      </c>
    </row>
    <row r="50" spans="2:6" x14ac:dyDescent="0.4">
      <c r="B50" s="35" t="s">
        <v>2609</v>
      </c>
      <c r="C50" s="36" t="s">
        <v>2610</v>
      </c>
      <c r="D50" s="36" t="s">
        <v>2697</v>
      </c>
      <c r="F50" s="36" t="s">
        <v>2316</v>
      </c>
    </row>
    <row r="51" spans="2:6" x14ac:dyDescent="0.4">
      <c r="B51" s="35" t="s">
        <v>2611</v>
      </c>
      <c r="C51" s="36" t="s">
        <v>2612</v>
      </c>
      <c r="D51" s="36" t="s">
        <v>2697</v>
      </c>
      <c r="F51" s="36" t="s">
        <v>2316</v>
      </c>
    </row>
    <row r="52" spans="2:6" x14ac:dyDescent="0.4">
      <c r="B52" s="35" t="s">
        <v>2613</v>
      </c>
      <c r="C52" s="36" t="s">
        <v>2614</v>
      </c>
      <c r="D52" s="36" t="s">
        <v>2697</v>
      </c>
      <c r="F52" s="36" t="s">
        <v>2316</v>
      </c>
    </row>
    <row r="53" spans="2:6" x14ac:dyDescent="0.4">
      <c r="B53" s="35" t="s">
        <v>2615</v>
      </c>
      <c r="C53" s="36" t="s">
        <v>2616</v>
      </c>
      <c r="D53" s="36" t="s">
        <v>2697</v>
      </c>
      <c r="F53" s="36" t="s">
        <v>2316</v>
      </c>
    </row>
    <row r="54" spans="2:6" x14ac:dyDescent="0.4">
      <c r="B54" s="35" t="s">
        <v>2617</v>
      </c>
      <c r="C54" s="36" t="s">
        <v>2618</v>
      </c>
      <c r="D54" s="36" t="s">
        <v>2697</v>
      </c>
      <c r="F54" s="36" t="s">
        <v>2316</v>
      </c>
    </row>
    <row r="55" spans="2:6" x14ac:dyDescent="0.4">
      <c r="B55" s="35" t="s">
        <v>2619</v>
      </c>
      <c r="C55" s="36" t="s">
        <v>2620</v>
      </c>
      <c r="D55" s="36" t="s">
        <v>2697</v>
      </c>
      <c r="F55" s="36" t="s">
        <v>2316</v>
      </c>
    </row>
    <row r="56" spans="2:6" x14ac:dyDescent="0.4">
      <c r="B56" s="35" t="s">
        <v>2621</v>
      </c>
      <c r="C56" s="36" t="s">
        <v>2622</v>
      </c>
      <c r="D56" s="36" t="s">
        <v>2697</v>
      </c>
      <c r="F56" s="36" t="s">
        <v>2316</v>
      </c>
    </row>
    <row r="57" spans="2:6" x14ac:dyDescent="0.4">
      <c r="B57" s="35" t="s">
        <v>2623</v>
      </c>
      <c r="C57" s="36" t="s">
        <v>2624</v>
      </c>
      <c r="D57" s="36" t="s">
        <v>2697</v>
      </c>
      <c r="F57" s="36" t="s">
        <v>2316</v>
      </c>
    </row>
    <row r="58" spans="2:6" x14ac:dyDescent="0.4">
      <c r="B58" s="35" t="s">
        <v>2625</v>
      </c>
      <c r="C58" s="36" t="s">
        <v>2626</v>
      </c>
      <c r="D58" s="36" t="s">
        <v>2697</v>
      </c>
      <c r="F58" s="36" t="s">
        <v>2316</v>
      </c>
    </row>
    <row r="59" spans="2:6" x14ac:dyDescent="0.4">
      <c r="B59" s="35" t="s">
        <v>2627</v>
      </c>
      <c r="C59" s="36" t="s">
        <v>2628</v>
      </c>
      <c r="D59" s="36" t="s">
        <v>2697</v>
      </c>
      <c r="F59" s="36" t="s">
        <v>2316</v>
      </c>
    </row>
    <row r="60" spans="2:6" x14ac:dyDescent="0.4">
      <c r="B60" s="35" t="s">
        <v>2629</v>
      </c>
      <c r="C60" s="36" t="s">
        <v>2630</v>
      </c>
      <c r="D60" s="36" t="s">
        <v>2697</v>
      </c>
      <c r="F60" s="36" t="s">
        <v>2316</v>
      </c>
    </row>
    <row r="61" spans="2:6" x14ac:dyDescent="0.4">
      <c r="B61" s="35" t="s">
        <v>2631</v>
      </c>
      <c r="C61" s="36" t="s">
        <v>2632</v>
      </c>
      <c r="D61" s="36" t="s">
        <v>2697</v>
      </c>
      <c r="F61" s="36" t="s">
        <v>2316</v>
      </c>
    </row>
    <row r="62" spans="2:6" x14ac:dyDescent="0.4">
      <c r="B62" s="35" t="s">
        <v>2633</v>
      </c>
      <c r="C62" s="36" t="s">
        <v>2634</v>
      </c>
      <c r="D62" s="36" t="s">
        <v>2697</v>
      </c>
      <c r="F62" s="36" t="s">
        <v>2316</v>
      </c>
    </row>
    <row r="63" spans="2:6" x14ac:dyDescent="0.4">
      <c r="B63" s="35" t="s">
        <v>2635</v>
      </c>
      <c r="C63" s="36" t="s">
        <v>2636</v>
      </c>
      <c r="D63" s="36" t="s">
        <v>2697</v>
      </c>
      <c r="F63" s="36" t="s">
        <v>2316</v>
      </c>
    </row>
    <row r="64" spans="2:6" x14ac:dyDescent="0.4">
      <c r="B64" s="35" t="s">
        <v>2637</v>
      </c>
      <c r="C64" s="36" t="s">
        <v>2638</v>
      </c>
      <c r="D64" s="36" t="s">
        <v>2697</v>
      </c>
      <c r="F64" s="36" t="s">
        <v>2316</v>
      </c>
    </row>
    <row r="65" spans="2:6" x14ac:dyDescent="0.4">
      <c r="B65" s="35" t="s">
        <v>2639</v>
      </c>
      <c r="C65" s="36" t="s">
        <v>2640</v>
      </c>
      <c r="D65" s="36" t="s">
        <v>2697</v>
      </c>
      <c r="F65" s="36" t="s">
        <v>2316</v>
      </c>
    </row>
    <row r="66" spans="2:6" x14ac:dyDescent="0.4">
      <c r="B66" s="35" t="s">
        <v>2641</v>
      </c>
      <c r="C66" s="36" t="s">
        <v>2642</v>
      </c>
      <c r="D66" s="36" t="s">
        <v>2697</v>
      </c>
      <c r="F66" s="36" t="s">
        <v>2316</v>
      </c>
    </row>
    <row r="67" spans="2:6" x14ac:dyDescent="0.4">
      <c r="B67" s="35" t="s">
        <v>2643</v>
      </c>
      <c r="C67" s="36" t="s">
        <v>2644</v>
      </c>
      <c r="D67" s="36" t="s">
        <v>2697</v>
      </c>
      <c r="F67" s="36" t="s">
        <v>2316</v>
      </c>
    </row>
    <row r="68" spans="2:6" x14ac:dyDescent="0.4">
      <c r="B68" s="35" t="s">
        <v>2648</v>
      </c>
      <c r="C68" s="36" t="s">
        <v>2653</v>
      </c>
      <c r="D68" s="36" t="s">
        <v>2660</v>
      </c>
      <c r="E68" s="36" t="s">
        <v>2659</v>
      </c>
      <c r="F68" s="36" t="s">
        <v>2780</v>
      </c>
    </row>
    <row r="69" spans="2:6" x14ac:dyDescent="0.4">
      <c r="B69" s="35" t="s">
        <v>2649</v>
      </c>
      <c r="C69" s="36" t="s">
        <v>2650</v>
      </c>
      <c r="D69" s="36" t="s">
        <v>2660</v>
      </c>
      <c r="F69" s="36" t="s">
        <v>2316</v>
      </c>
    </row>
    <row r="70" spans="2:6" x14ac:dyDescent="0.4">
      <c r="B70" s="35" t="s">
        <v>2651</v>
      </c>
      <c r="C70" s="36" t="s">
        <v>2652</v>
      </c>
      <c r="D70" s="36" t="s">
        <v>2660</v>
      </c>
      <c r="E70" s="36" t="s">
        <v>2659</v>
      </c>
      <c r="F70" s="36" t="s">
        <v>2780</v>
      </c>
    </row>
    <row r="71" spans="2:6" x14ac:dyDescent="0.4">
      <c r="B71" s="35" t="s">
        <v>2654</v>
      </c>
      <c r="C71" s="36" t="s">
        <v>2655</v>
      </c>
      <c r="D71" s="36" t="s">
        <v>2660</v>
      </c>
      <c r="F71" s="36" t="s">
        <v>2316</v>
      </c>
    </row>
    <row r="72" spans="2:6" x14ac:dyDescent="0.4">
      <c r="B72" s="35" t="s">
        <v>2656</v>
      </c>
      <c r="C72" s="36" t="s">
        <v>2657</v>
      </c>
      <c r="D72" s="36" t="s">
        <v>2660</v>
      </c>
      <c r="E72" s="36" t="s">
        <v>2719</v>
      </c>
      <c r="F72" s="36" t="s">
        <v>2781</v>
      </c>
    </row>
    <row r="73" spans="2:6" x14ac:dyDescent="0.4">
      <c r="B73" s="35" t="s">
        <v>2662</v>
      </c>
      <c r="C73" s="36" t="s">
        <v>2663</v>
      </c>
      <c r="D73" s="36" t="s">
        <v>2660</v>
      </c>
      <c r="F73" s="36" t="s">
        <v>2316</v>
      </c>
    </row>
    <row r="74" spans="2:6" x14ac:dyDescent="0.4">
      <c r="B74" s="35" t="s">
        <v>2664</v>
      </c>
      <c r="C74" s="36" t="s">
        <v>2665</v>
      </c>
      <c r="D74" s="36" t="s">
        <v>2666</v>
      </c>
      <c r="F74" s="36" t="s">
        <v>2316</v>
      </c>
    </row>
    <row r="75" spans="2:6" x14ac:dyDescent="0.4">
      <c r="B75" s="35" t="s">
        <v>2669</v>
      </c>
      <c r="C75" s="36" t="s">
        <v>2667</v>
      </c>
      <c r="D75" s="36" t="s">
        <v>2668</v>
      </c>
      <c r="F75" s="36" t="s">
        <v>2316</v>
      </c>
    </row>
    <row r="76" spans="2:6" x14ac:dyDescent="0.4">
      <c r="B76" s="35" t="s">
        <v>2671</v>
      </c>
      <c r="C76" s="36" t="s">
        <v>2672</v>
      </c>
      <c r="D76" s="36" t="s">
        <v>2696</v>
      </c>
      <c r="F76" s="36" t="s">
        <v>2316</v>
      </c>
    </row>
    <row r="77" spans="2:6" x14ac:dyDescent="0.4">
      <c r="B77" s="35" t="s">
        <v>2673</v>
      </c>
      <c r="C77" s="36" t="s">
        <v>2674</v>
      </c>
      <c r="D77" s="36" t="s">
        <v>2668</v>
      </c>
      <c r="F77" s="36" t="s">
        <v>2316</v>
      </c>
    </row>
    <row r="78" spans="2:6" x14ac:dyDescent="0.4">
      <c r="B78" s="35" t="s">
        <v>2684</v>
      </c>
      <c r="C78" t="s">
        <v>2675</v>
      </c>
      <c r="D78" s="36" t="s">
        <v>2668</v>
      </c>
      <c r="E78" s="36" t="s">
        <v>2695</v>
      </c>
      <c r="F78" s="36" t="s">
        <v>2316</v>
      </c>
    </row>
    <row r="79" spans="2:6" x14ac:dyDescent="0.4">
      <c r="B79" s="35" t="s">
        <v>2686</v>
      </c>
      <c r="C79" s="36" t="s">
        <v>2685</v>
      </c>
      <c r="D79" s="36" t="s">
        <v>2668</v>
      </c>
      <c r="E79" s="36" t="s">
        <v>2695</v>
      </c>
      <c r="F79" s="36" t="s">
        <v>2316</v>
      </c>
    </row>
    <row r="80" spans="2:6" x14ac:dyDescent="0.4">
      <c r="B80" s="35" t="s">
        <v>2687</v>
      </c>
      <c r="C80" s="36" t="s">
        <v>2676</v>
      </c>
      <c r="D80" s="36" t="s">
        <v>2668</v>
      </c>
      <c r="E80" s="36" t="s">
        <v>2695</v>
      </c>
      <c r="F80" s="36" t="s">
        <v>2316</v>
      </c>
    </row>
    <row r="81" spans="2:6" x14ac:dyDescent="0.4">
      <c r="B81" s="35" t="s">
        <v>2688</v>
      </c>
      <c r="C81" s="36" t="s">
        <v>2677</v>
      </c>
      <c r="D81" s="36" t="s">
        <v>2668</v>
      </c>
      <c r="E81" s="36" t="s">
        <v>2695</v>
      </c>
      <c r="F81" s="36" t="s">
        <v>2316</v>
      </c>
    </row>
    <row r="82" spans="2:6" x14ac:dyDescent="0.4">
      <c r="B82" s="35" t="s">
        <v>2689</v>
      </c>
      <c r="C82" s="36" t="s">
        <v>2678</v>
      </c>
      <c r="D82" s="36" t="s">
        <v>2668</v>
      </c>
      <c r="E82" s="36" t="s">
        <v>2695</v>
      </c>
      <c r="F82" s="36" t="s">
        <v>2316</v>
      </c>
    </row>
    <row r="83" spans="2:6" x14ac:dyDescent="0.4">
      <c r="B83" s="35" t="s">
        <v>2690</v>
      </c>
      <c r="C83" s="36" t="s">
        <v>2679</v>
      </c>
      <c r="D83" s="36" t="s">
        <v>2668</v>
      </c>
      <c r="E83" s="36" t="s">
        <v>2695</v>
      </c>
      <c r="F83" s="36" t="s">
        <v>2316</v>
      </c>
    </row>
    <row r="84" spans="2:6" x14ac:dyDescent="0.4">
      <c r="B84" s="39" t="s">
        <v>2691</v>
      </c>
      <c r="C84" s="40" t="s">
        <v>2680</v>
      </c>
      <c r="D84" s="40" t="s">
        <v>2668</v>
      </c>
      <c r="E84" s="40" t="s">
        <v>2695</v>
      </c>
      <c r="F84" s="40" t="s">
        <v>2718</v>
      </c>
    </row>
    <row r="85" spans="2:6" x14ac:dyDescent="0.4">
      <c r="B85" s="35" t="s">
        <v>2692</v>
      </c>
      <c r="C85" s="36" t="s">
        <v>2681</v>
      </c>
      <c r="D85" s="36" t="s">
        <v>2668</v>
      </c>
      <c r="E85" s="36" t="s">
        <v>2695</v>
      </c>
    </row>
    <row r="86" spans="2:6" x14ac:dyDescent="0.4">
      <c r="B86" s="35" t="s">
        <v>2693</v>
      </c>
      <c r="C86" s="36" t="s">
        <v>2682</v>
      </c>
      <c r="D86" s="36" t="s">
        <v>2668</v>
      </c>
      <c r="E86" s="36" t="s">
        <v>2695</v>
      </c>
    </row>
    <row r="87" spans="2:6" x14ac:dyDescent="0.4">
      <c r="B87" s="35" t="s">
        <v>2694</v>
      </c>
      <c r="C87" s="36" t="s">
        <v>2683</v>
      </c>
      <c r="D87" s="36" t="s">
        <v>2668</v>
      </c>
      <c r="E87" s="36" t="s">
        <v>2695</v>
      </c>
    </row>
    <row r="88" spans="2:6" x14ac:dyDescent="0.4">
      <c r="B88" s="35" t="s">
        <v>2717</v>
      </c>
      <c r="C88" s="36" t="s">
        <v>2715</v>
      </c>
      <c r="D88" s="36" t="s">
        <v>2716</v>
      </c>
      <c r="E88" s="36" t="s">
        <v>2731</v>
      </c>
      <c r="F88" s="36" t="s">
        <v>2316</v>
      </c>
    </row>
    <row r="89" spans="2:6" x14ac:dyDescent="0.4">
      <c r="B89" s="35" t="s">
        <v>2721</v>
      </c>
      <c r="C89" s="36" t="s">
        <v>2722</v>
      </c>
      <c r="D89" s="36" t="s">
        <v>2716</v>
      </c>
      <c r="F89" s="36" t="s">
        <v>2316</v>
      </c>
    </row>
    <row r="90" spans="2:6" x14ac:dyDescent="0.4">
      <c r="B90" s="35" t="s">
        <v>1820</v>
      </c>
      <c r="C90" s="36" t="s">
        <v>2723</v>
      </c>
      <c r="D90" s="36" t="s">
        <v>2730</v>
      </c>
    </row>
    <row r="91" spans="2:6" x14ac:dyDescent="0.4">
      <c r="B91" s="35" t="s">
        <v>110</v>
      </c>
      <c r="C91" s="36" t="s">
        <v>2724</v>
      </c>
      <c r="D91" s="36" t="s">
        <v>2730</v>
      </c>
    </row>
    <row r="92" spans="2:6" x14ac:dyDescent="0.4">
      <c r="B92" s="35" t="s">
        <v>1722</v>
      </c>
      <c r="C92" s="33" t="s">
        <v>2725</v>
      </c>
      <c r="D92" s="36" t="s">
        <v>2730</v>
      </c>
    </row>
    <row r="93" spans="2:6" x14ac:dyDescent="0.4">
      <c r="B93" s="35" t="s">
        <v>1937</v>
      </c>
      <c r="C93" s="36" t="s">
        <v>2743</v>
      </c>
      <c r="D93" s="36" t="s">
        <v>2730</v>
      </c>
    </row>
    <row r="94" spans="2:6" x14ac:dyDescent="0.4">
      <c r="B94" s="35" t="s">
        <v>1144</v>
      </c>
      <c r="C94" s="36" t="s">
        <v>2732</v>
      </c>
      <c r="D94" s="36" t="s">
        <v>2730</v>
      </c>
    </row>
    <row r="95" spans="2:6" x14ac:dyDescent="0.4">
      <c r="B95" s="35" t="s">
        <v>2726</v>
      </c>
      <c r="C95" s="36" t="s">
        <v>2727</v>
      </c>
      <c r="D95" s="36" t="s">
        <v>2697</v>
      </c>
      <c r="F95" s="36" t="s">
        <v>2316</v>
      </c>
    </row>
    <row r="96" spans="2:6" x14ac:dyDescent="0.4">
      <c r="B96" s="35" t="s">
        <v>2728</v>
      </c>
      <c r="C96" s="36" t="s">
        <v>2729</v>
      </c>
      <c r="D96" s="36" t="s">
        <v>2697</v>
      </c>
      <c r="F96" s="36" t="s">
        <v>2316</v>
      </c>
    </row>
    <row r="97" spans="2:6" x14ac:dyDescent="0.4">
      <c r="B97" s="35" t="s">
        <v>2744</v>
      </c>
      <c r="C97" s="36" t="s">
        <v>2742</v>
      </c>
      <c r="D97" s="36" t="s">
        <v>2668</v>
      </c>
      <c r="F97" s="36" t="s">
        <v>2316</v>
      </c>
    </row>
    <row r="98" spans="2:6" x14ac:dyDescent="0.4">
      <c r="B98" s="35" t="s">
        <v>2746</v>
      </c>
      <c r="C98" s="36" t="s">
        <v>2747</v>
      </c>
      <c r="D98" s="36" t="s">
        <v>2748</v>
      </c>
      <c r="F98" s="36" t="s">
        <v>2316</v>
      </c>
    </row>
    <row r="99" spans="2:6" x14ac:dyDescent="0.4">
      <c r="B99" s="35" t="s">
        <v>2749</v>
      </c>
      <c r="C99" s="36" t="s">
        <v>2750</v>
      </c>
      <c r="D99" s="36" t="s">
        <v>2751</v>
      </c>
      <c r="F99" s="36" t="s">
        <v>2316</v>
      </c>
    </row>
    <row r="100" spans="2:6" x14ac:dyDescent="0.4">
      <c r="B100" s="35" t="s">
        <v>2753</v>
      </c>
      <c r="C100" s="36" t="s">
        <v>2754</v>
      </c>
      <c r="D100" s="36" t="s">
        <v>2755</v>
      </c>
      <c r="F100" s="36" t="s">
        <v>2316</v>
      </c>
    </row>
    <row r="101" spans="2:6" x14ac:dyDescent="0.4">
      <c r="B101" s="35" t="s">
        <v>2759</v>
      </c>
      <c r="C101" s="36" t="s">
        <v>2760</v>
      </c>
      <c r="D101" s="36" t="s">
        <v>2755</v>
      </c>
      <c r="F101" s="36" t="s">
        <v>2316</v>
      </c>
    </row>
    <row r="102" spans="2:6" x14ac:dyDescent="0.4">
      <c r="B102" s="35" t="s">
        <v>2762</v>
      </c>
      <c r="C102" s="36" t="s">
        <v>2763</v>
      </c>
      <c r="D102" s="36" t="s">
        <v>2764</v>
      </c>
      <c r="F102" s="36" t="s">
        <v>2316</v>
      </c>
    </row>
    <row r="103" spans="2:6" x14ac:dyDescent="0.4">
      <c r="B103" s="35" t="s">
        <v>2765</v>
      </c>
      <c r="C103" s="36" t="s">
        <v>2766</v>
      </c>
      <c r="D103" s="36" t="s">
        <v>2767</v>
      </c>
      <c r="F103" s="36" t="s">
        <v>2316</v>
      </c>
    </row>
    <row r="104" spans="2:6" x14ac:dyDescent="0.4">
      <c r="B104" s="35" t="s">
        <v>2768</v>
      </c>
      <c r="C104" s="36" t="s">
        <v>2769</v>
      </c>
      <c r="D104" s="36" t="s">
        <v>2767</v>
      </c>
      <c r="F104" s="36" t="s">
        <v>2316</v>
      </c>
    </row>
    <row r="105" spans="2:6" x14ac:dyDescent="0.4">
      <c r="B105" s="35" t="s">
        <v>2770</v>
      </c>
      <c r="C105" s="36" t="s">
        <v>2771</v>
      </c>
      <c r="D105" s="36" t="s">
        <v>2755</v>
      </c>
      <c r="F105" s="36" t="s">
        <v>2316</v>
      </c>
    </row>
    <row r="106" spans="2:6" x14ac:dyDescent="0.4">
      <c r="B106" s="35" t="s">
        <v>2783</v>
      </c>
      <c r="C106" s="36" t="s">
        <v>2784</v>
      </c>
      <c r="D106" s="36" t="s">
        <v>2697</v>
      </c>
      <c r="F106" s="36" t="s">
        <v>2316</v>
      </c>
    </row>
  </sheetData>
  <phoneticPr fontId="1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8C13D-14D9-4671-B3CF-1ADD2E368C21}">
  <dimension ref="B1:D302"/>
  <sheetViews>
    <sheetView workbookViewId="0">
      <pane ySplit="1" topLeftCell="A288" activePane="bottomLeft" state="frozen"/>
      <selection pane="bottomLeft" activeCell="C301" sqref="C301"/>
    </sheetView>
  </sheetViews>
  <sheetFormatPr defaultRowHeight="18.75" x14ac:dyDescent="0.4"/>
  <cols>
    <col min="2" max="2" width="9" style="31"/>
    <col min="3" max="3" width="21.375" style="33" bestFit="1" customWidth="1"/>
    <col min="4" max="4" width="19.25" style="33" bestFit="1" customWidth="1"/>
  </cols>
  <sheetData>
    <row r="1" spans="2:4" s="48" customFormat="1" ht="18" x14ac:dyDescent="0.4">
      <c r="B1" s="46" t="s">
        <v>2169</v>
      </c>
      <c r="C1" s="47" t="s">
        <v>2015</v>
      </c>
      <c r="D1" s="47" t="s">
        <v>2016</v>
      </c>
    </row>
    <row r="2" spans="2:4" x14ac:dyDescent="0.4">
      <c r="B2" s="31" t="s">
        <v>2120</v>
      </c>
      <c r="C2" s="34" t="s">
        <v>2094</v>
      </c>
    </row>
    <row r="3" spans="2:4" x14ac:dyDescent="0.4">
      <c r="B3" s="31" t="s">
        <v>2121</v>
      </c>
      <c r="C3" s="34" t="s">
        <v>2094</v>
      </c>
    </row>
    <row r="4" spans="2:4" x14ac:dyDescent="0.4">
      <c r="B4" s="31" t="s">
        <v>2122</v>
      </c>
      <c r="C4" s="34" t="s">
        <v>2094</v>
      </c>
    </row>
    <row r="5" spans="2:4" x14ac:dyDescent="0.4">
      <c r="B5" s="31" t="s">
        <v>2123</v>
      </c>
      <c r="C5" s="34" t="s">
        <v>2094</v>
      </c>
    </row>
    <row r="6" spans="2:4" x14ac:dyDescent="0.4">
      <c r="B6" s="31" t="s">
        <v>2124</v>
      </c>
      <c r="C6" s="34" t="s">
        <v>2094</v>
      </c>
    </row>
    <row r="7" spans="2:4" x14ac:dyDescent="0.4">
      <c r="B7" s="31" t="s">
        <v>2125</v>
      </c>
      <c r="C7" s="34" t="s">
        <v>2094</v>
      </c>
    </row>
    <row r="8" spans="2:4" x14ac:dyDescent="0.4">
      <c r="B8" s="31" t="s">
        <v>2128</v>
      </c>
      <c r="C8" s="34" t="s">
        <v>2094</v>
      </c>
    </row>
    <row r="9" spans="2:4" x14ac:dyDescent="0.4">
      <c r="B9" s="31" t="s">
        <v>2129</v>
      </c>
      <c r="C9" s="34" t="s">
        <v>2094</v>
      </c>
    </row>
    <row r="10" spans="2:4" x14ac:dyDescent="0.4">
      <c r="B10" s="31" t="s">
        <v>2126</v>
      </c>
      <c r="C10" s="34" t="s">
        <v>2094</v>
      </c>
    </row>
    <row r="11" spans="2:4" x14ac:dyDescent="0.4">
      <c r="B11" s="31" t="s">
        <v>2127</v>
      </c>
      <c r="C11" s="34" t="s">
        <v>2094</v>
      </c>
    </row>
    <row r="12" spans="2:4" x14ac:dyDescent="0.4">
      <c r="B12" s="31" t="s">
        <v>2130</v>
      </c>
      <c r="C12" s="34" t="s">
        <v>2094</v>
      </c>
    </row>
    <row r="13" spans="2:4" x14ac:dyDescent="0.4">
      <c r="B13" s="31" t="s">
        <v>2131</v>
      </c>
      <c r="C13" s="34" t="s">
        <v>2094</v>
      </c>
    </row>
    <row r="14" spans="2:4" x14ac:dyDescent="0.4">
      <c r="B14" s="31" t="s">
        <v>2132</v>
      </c>
      <c r="C14" s="34" t="s">
        <v>2094</v>
      </c>
    </row>
    <row r="15" spans="2:4" x14ac:dyDescent="0.4">
      <c r="B15" s="31" t="s">
        <v>2133</v>
      </c>
      <c r="C15" s="34" t="s">
        <v>2094</v>
      </c>
    </row>
    <row r="16" spans="2:4" x14ac:dyDescent="0.4">
      <c r="B16" s="31" t="s">
        <v>2134</v>
      </c>
      <c r="C16" s="34" t="s">
        <v>2094</v>
      </c>
    </row>
    <row r="17" spans="2:3" x14ac:dyDescent="0.4">
      <c r="B17" s="31" t="s">
        <v>2135</v>
      </c>
      <c r="C17" s="34" t="s">
        <v>2094</v>
      </c>
    </row>
    <row r="18" spans="2:3" x14ac:dyDescent="0.4">
      <c r="B18" s="31" t="s">
        <v>2136</v>
      </c>
      <c r="C18" s="34" t="s">
        <v>2094</v>
      </c>
    </row>
    <row r="19" spans="2:3" x14ac:dyDescent="0.4">
      <c r="B19" s="31" t="s">
        <v>2137</v>
      </c>
      <c r="C19" s="34" t="s">
        <v>2094</v>
      </c>
    </row>
    <row r="20" spans="2:3" x14ac:dyDescent="0.4">
      <c r="B20" s="31" t="s">
        <v>2138</v>
      </c>
      <c r="C20" s="34" t="s">
        <v>2094</v>
      </c>
    </row>
    <row r="21" spans="2:3" x14ac:dyDescent="0.4">
      <c r="B21" s="31" t="s">
        <v>2139</v>
      </c>
      <c r="C21" s="34" t="s">
        <v>2094</v>
      </c>
    </row>
    <row r="22" spans="2:3" x14ac:dyDescent="0.4">
      <c r="B22" s="31" t="s">
        <v>2140</v>
      </c>
      <c r="C22" s="34" t="s">
        <v>2094</v>
      </c>
    </row>
    <row r="23" spans="2:3" x14ac:dyDescent="0.4">
      <c r="B23" s="31" t="s">
        <v>2187</v>
      </c>
      <c r="C23" s="34" t="s">
        <v>2094</v>
      </c>
    </row>
    <row r="24" spans="2:3" x14ac:dyDescent="0.4">
      <c r="B24" s="31" t="s">
        <v>2188</v>
      </c>
      <c r="C24" s="34" t="s">
        <v>2094</v>
      </c>
    </row>
    <row r="25" spans="2:3" x14ac:dyDescent="0.4">
      <c r="B25" s="31" t="s">
        <v>2141</v>
      </c>
      <c r="C25" s="34" t="s">
        <v>2072</v>
      </c>
    </row>
    <row r="26" spans="2:3" x14ac:dyDescent="0.4">
      <c r="B26" s="31" t="s">
        <v>2142</v>
      </c>
      <c r="C26" s="34" t="s">
        <v>2072</v>
      </c>
    </row>
    <row r="27" spans="2:3" x14ac:dyDescent="0.4">
      <c r="B27" s="31" t="s">
        <v>2143</v>
      </c>
      <c r="C27" s="34" t="s">
        <v>2072</v>
      </c>
    </row>
    <row r="28" spans="2:3" x14ac:dyDescent="0.4">
      <c r="B28" s="31" t="s">
        <v>2144</v>
      </c>
      <c r="C28" s="34" t="s">
        <v>2072</v>
      </c>
    </row>
    <row r="29" spans="2:3" x14ac:dyDescent="0.4">
      <c r="B29" s="31" t="s">
        <v>2145</v>
      </c>
      <c r="C29" s="34" t="s">
        <v>2068</v>
      </c>
    </row>
    <row r="30" spans="2:3" x14ac:dyDescent="0.4">
      <c r="B30" s="31" t="s">
        <v>2146</v>
      </c>
      <c r="C30" s="34" t="s">
        <v>2068</v>
      </c>
    </row>
    <row r="31" spans="2:3" x14ac:dyDescent="0.4">
      <c r="B31" s="31" t="s">
        <v>2147</v>
      </c>
      <c r="C31" s="34" t="s">
        <v>2068</v>
      </c>
    </row>
    <row r="32" spans="2:3" x14ac:dyDescent="0.4">
      <c r="B32" s="31" t="s">
        <v>2148</v>
      </c>
      <c r="C32" s="34" t="s">
        <v>2068</v>
      </c>
    </row>
    <row r="33" spans="2:4" x14ac:dyDescent="0.4">
      <c r="B33" s="31" t="s">
        <v>2149</v>
      </c>
      <c r="C33" s="34" t="s">
        <v>2068</v>
      </c>
      <c r="D33" s="34" t="s">
        <v>2064</v>
      </c>
    </row>
    <row r="34" spans="2:4" x14ac:dyDescent="0.4">
      <c r="B34" s="31" t="s">
        <v>2150</v>
      </c>
      <c r="C34" s="34" t="s">
        <v>2068</v>
      </c>
    </row>
    <row r="35" spans="2:4" x14ac:dyDescent="0.4">
      <c r="B35" s="31" t="s">
        <v>2151</v>
      </c>
      <c r="C35" s="34" t="s">
        <v>2068</v>
      </c>
    </row>
    <row r="36" spans="2:4" x14ac:dyDescent="0.4">
      <c r="B36" s="31" t="s">
        <v>2152</v>
      </c>
      <c r="C36" s="34" t="s">
        <v>2068</v>
      </c>
    </row>
    <row r="37" spans="2:4" x14ac:dyDescent="0.4">
      <c r="B37" s="31" t="s">
        <v>2153</v>
      </c>
      <c r="C37" s="34" t="s">
        <v>2068</v>
      </c>
    </row>
    <row r="38" spans="2:4" x14ac:dyDescent="0.4">
      <c r="B38" s="31" t="s">
        <v>2154</v>
      </c>
      <c r="C38" s="34" t="s">
        <v>2068</v>
      </c>
    </row>
    <row r="39" spans="2:4" x14ac:dyDescent="0.4">
      <c r="B39" s="31" t="s">
        <v>2155</v>
      </c>
      <c r="C39" s="34" t="s">
        <v>2087</v>
      </c>
      <c r="D39" s="34" t="s">
        <v>2542</v>
      </c>
    </row>
    <row r="40" spans="2:4" x14ac:dyDescent="0.4">
      <c r="B40" s="31" t="s">
        <v>2156</v>
      </c>
      <c r="C40" s="34" t="s">
        <v>2087</v>
      </c>
    </row>
    <row r="41" spans="2:4" x14ac:dyDescent="0.4">
      <c r="B41" s="31" t="s">
        <v>2157</v>
      </c>
      <c r="C41" s="34" t="s">
        <v>2087</v>
      </c>
    </row>
    <row r="42" spans="2:4" x14ac:dyDescent="0.4">
      <c r="B42" s="31" t="s">
        <v>2158</v>
      </c>
      <c r="C42" s="34" t="s">
        <v>2087</v>
      </c>
    </row>
    <row r="43" spans="2:4" x14ac:dyDescent="0.4">
      <c r="B43" s="31" t="s">
        <v>2159</v>
      </c>
      <c r="C43" s="34" t="s">
        <v>2087</v>
      </c>
    </row>
    <row r="44" spans="2:4" x14ac:dyDescent="0.4">
      <c r="B44" s="31" t="s">
        <v>2170</v>
      </c>
      <c r="C44" s="34" t="s">
        <v>2087</v>
      </c>
    </row>
    <row r="45" spans="2:4" x14ac:dyDescent="0.4">
      <c r="B45" s="31" t="s">
        <v>2160</v>
      </c>
      <c r="C45" s="34" t="s">
        <v>2087</v>
      </c>
    </row>
    <row r="46" spans="2:4" x14ac:dyDescent="0.4">
      <c r="B46" s="31" t="s">
        <v>2161</v>
      </c>
      <c r="C46" s="34" t="s">
        <v>2084</v>
      </c>
    </row>
    <row r="47" spans="2:4" x14ac:dyDescent="0.4">
      <c r="B47" s="31" t="s">
        <v>2162</v>
      </c>
      <c r="C47" s="34" t="s">
        <v>2084</v>
      </c>
    </row>
    <row r="48" spans="2:4" x14ac:dyDescent="0.4">
      <c r="B48" s="31" t="s">
        <v>1160</v>
      </c>
      <c r="C48" s="34" t="s">
        <v>2084</v>
      </c>
    </row>
    <row r="49" spans="2:4" x14ac:dyDescent="0.4">
      <c r="B49" s="31" t="s">
        <v>2163</v>
      </c>
      <c r="C49" s="34" t="s">
        <v>2084</v>
      </c>
    </row>
    <row r="50" spans="2:4" x14ac:dyDescent="0.4">
      <c r="B50" s="31" t="s">
        <v>2164</v>
      </c>
      <c r="C50" s="34" t="s">
        <v>2084</v>
      </c>
    </row>
    <row r="51" spans="2:4" x14ac:dyDescent="0.4">
      <c r="B51" s="31" t="s">
        <v>2165</v>
      </c>
      <c r="C51" s="34" t="s">
        <v>2084</v>
      </c>
    </row>
    <row r="52" spans="2:4" x14ac:dyDescent="0.4">
      <c r="B52" s="31" t="s">
        <v>2166</v>
      </c>
      <c r="C52" s="34" t="s">
        <v>2084</v>
      </c>
    </row>
    <row r="53" spans="2:4" x14ac:dyDescent="0.4">
      <c r="B53" s="31" t="s">
        <v>2167</v>
      </c>
      <c r="C53" s="34" t="s">
        <v>2084</v>
      </c>
    </row>
    <row r="54" spans="2:4" x14ac:dyDescent="0.4">
      <c r="B54" s="31" t="s">
        <v>2168</v>
      </c>
      <c r="C54" s="34" t="s">
        <v>2086</v>
      </c>
    </row>
    <row r="55" spans="2:4" x14ac:dyDescent="0.4">
      <c r="B55" s="31" t="s">
        <v>2171</v>
      </c>
      <c r="C55" s="34" t="s">
        <v>2086</v>
      </c>
    </row>
    <row r="56" spans="2:4" x14ac:dyDescent="0.4">
      <c r="B56" s="31" t="s">
        <v>2172</v>
      </c>
      <c r="C56" s="34" t="s">
        <v>2086</v>
      </c>
    </row>
    <row r="57" spans="2:4" x14ac:dyDescent="0.4">
      <c r="B57" s="31" t="s">
        <v>2173</v>
      </c>
      <c r="C57" s="34" t="s">
        <v>2086</v>
      </c>
    </row>
    <row r="58" spans="2:4" x14ac:dyDescent="0.4">
      <c r="B58" s="31" t="s">
        <v>2174</v>
      </c>
      <c r="C58" s="34" t="s">
        <v>2086</v>
      </c>
    </row>
    <row r="59" spans="2:4" x14ac:dyDescent="0.4">
      <c r="B59" s="31" t="s">
        <v>2175</v>
      </c>
      <c r="C59" s="34" t="s">
        <v>2086</v>
      </c>
    </row>
    <row r="60" spans="2:4" x14ac:dyDescent="0.4">
      <c r="B60" s="31" t="s">
        <v>2176</v>
      </c>
      <c r="C60" s="34" t="s">
        <v>2086</v>
      </c>
    </row>
    <row r="61" spans="2:4" x14ac:dyDescent="0.4">
      <c r="B61" s="31" t="s">
        <v>2177</v>
      </c>
      <c r="C61" s="34" t="s">
        <v>2086</v>
      </c>
    </row>
    <row r="62" spans="2:4" x14ac:dyDescent="0.4">
      <c r="B62" s="31" t="s">
        <v>2178</v>
      </c>
      <c r="C62" s="34" t="s">
        <v>2086</v>
      </c>
      <c r="D62" s="34" t="s">
        <v>2544</v>
      </c>
    </row>
    <row r="63" spans="2:4" x14ac:dyDescent="0.4">
      <c r="B63" s="31" t="s">
        <v>2179</v>
      </c>
      <c r="C63" s="34" t="s">
        <v>2086</v>
      </c>
    </row>
    <row r="64" spans="2:4" x14ac:dyDescent="0.4">
      <c r="B64" s="31" t="s">
        <v>2180</v>
      </c>
      <c r="C64" s="34" t="s">
        <v>2086</v>
      </c>
    </row>
    <row r="65" spans="2:4" x14ac:dyDescent="0.4">
      <c r="B65" s="31" t="s">
        <v>2181</v>
      </c>
      <c r="C65" s="34" t="s">
        <v>2086</v>
      </c>
    </row>
    <row r="66" spans="2:4" x14ac:dyDescent="0.4">
      <c r="B66" s="31" t="s">
        <v>2182</v>
      </c>
      <c r="C66" s="34" t="s">
        <v>2086</v>
      </c>
    </row>
    <row r="67" spans="2:4" x14ac:dyDescent="0.4">
      <c r="B67" s="31" t="s">
        <v>2183</v>
      </c>
      <c r="C67" s="34" t="s">
        <v>2086</v>
      </c>
    </row>
    <row r="68" spans="2:4" x14ac:dyDescent="0.4">
      <c r="B68" s="31" t="s">
        <v>2184</v>
      </c>
      <c r="C68" s="34" t="s">
        <v>2086</v>
      </c>
    </row>
    <row r="69" spans="2:4" x14ac:dyDescent="0.4">
      <c r="B69" s="31" t="s">
        <v>2185</v>
      </c>
      <c r="C69" s="34" t="s">
        <v>2086</v>
      </c>
    </row>
    <row r="70" spans="2:4" x14ac:dyDescent="0.4">
      <c r="B70" s="31" t="s">
        <v>2186</v>
      </c>
      <c r="C70" s="34" t="s">
        <v>2086</v>
      </c>
    </row>
    <row r="71" spans="2:4" x14ac:dyDescent="0.4">
      <c r="B71" s="31" t="s">
        <v>2189</v>
      </c>
      <c r="C71" s="34" t="s">
        <v>2064</v>
      </c>
    </row>
    <row r="72" spans="2:4" x14ac:dyDescent="0.4">
      <c r="B72" s="31" t="s">
        <v>2190</v>
      </c>
      <c r="C72" s="34" t="s">
        <v>2064</v>
      </c>
    </row>
    <row r="73" spans="2:4" x14ac:dyDescent="0.4">
      <c r="B73" s="31" t="s">
        <v>2191</v>
      </c>
      <c r="C73" s="34" t="s">
        <v>2064</v>
      </c>
    </row>
    <row r="74" spans="2:4" x14ac:dyDescent="0.4">
      <c r="B74" s="31" t="s">
        <v>2192</v>
      </c>
      <c r="C74" s="34" t="s">
        <v>2064</v>
      </c>
      <c r="D74" s="34" t="s">
        <v>2077</v>
      </c>
    </row>
    <row r="75" spans="2:4" x14ac:dyDescent="0.4">
      <c r="B75" s="31" t="s">
        <v>2193</v>
      </c>
      <c r="C75" s="34" t="s">
        <v>2064</v>
      </c>
    </row>
    <row r="76" spans="2:4" x14ac:dyDescent="0.4">
      <c r="B76" s="31" t="s">
        <v>2194</v>
      </c>
      <c r="C76" s="34" t="s">
        <v>2064</v>
      </c>
    </row>
    <row r="77" spans="2:4" x14ac:dyDescent="0.4">
      <c r="B77" s="31" t="s">
        <v>2195</v>
      </c>
      <c r="C77" s="34" t="s">
        <v>2064</v>
      </c>
    </row>
    <row r="78" spans="2:4" x14ac:dyDescent="0.4">
      <c r="B78" s="31" t="s">
        <v>2196</v>
      </c>
      <c r="C78" s="34" t="s">
        <v>2064</v>
      </c>
    </row>
    <row r="79" spans="2:4" x14ac:dyDescent="0.4">
      <c r="B79" s="31" t="s">
        <v>2197</v>
      </c>
      <c r="C79" s="34" t="s">
        <v>2064</v>
      </c>
    </row>
    <row r="80" spans="2:4" x14ac:dyDescent="0.4">
      <c r="B80" s="31" t="s">
        <v>2198</v>
      </c>
      <c r="C80" s="34" t="s">
        <v>2064</v>
      </c>
    </row>
    <row r="81" spans="2:4" x14ac:dyDescent="0.4">
      <c r="B81" s="31" t="s">
        <v>2199</v>
      </c>
      <c r="C81" s="34" t="s">
        <v>2064</v>
      </c>
    </row>
    <row r="82" spans="2:4" x14ac:dyDescent="0.4">
      <c r="B82" s="31" t="s">
        <v>2200</v>
      </c>
      <c r="C82" s="34" t="s">
        <v>2064</v>
      </c>
    </row>
    <row r="83" spans="2:4" x14ac:dyDescent="0.4">
      <c r="B83" s="31" t="s">
        <v>2201</v>
      </c>
      <c r="C83" s="34" t="s">
        <v>2064</v>
      </c>
    </row>
    <row r="84" spans="2:4" x14ac:dyDescent="0.4">
      <c r="B84" s="31" t="s">
        <v>2202</v>
      </c>
      <c r="C84" s="34" t="s">
        <v>2064</v>
      </c>
    </row>
    <row r="85" spans="2:4" x14ac:dyDescent="0.4">
      <c r="B85" s="31" t="s">
        <v>2203</v>
      </c>
      <c r="C85" s="34" t="s">
        <v>2064</v>
      </c>
    </row>
    <row r="86" spans="2:4" x14ac:dyDescent="0.4">
      <c r="B86" s="31" t="s">
        <v>2204</v>
      </c>
      <c r="C86" s="34" t="s">
        <v>2064</v>
      </c>
    </row>
    <row r="87" spans="2:4" x14ac:dyDescent="0.4">
      <c r="B87" s="31" t="s">
        <v>2205</v>
      </c>
      <c r="C87" s="34" t="s">
        <v>2064</v>
      </c>
    </row>
    <row r="88" spans="2:4" x14ac:dyDescent="0.4">
      <c r="B88" s="31" t="s">
        <v>2206</v>
      </c>
      <c r="C88" s="34" t="s">
        <v>2064</v>
      </c>
    </row>
    <row r="89" spans="2:4" x14ac:dyDescent="0.4">
      <c r="B89" s="31" t="s">
        <v>2207</v>
      </c>
      <c r="C89" s="34" t="s">
        <v>2064</v>
      </c>
    </row>
    <row r="90" spans="2:4" x14ac:dyDescent="0.4">
      <c r="B90" s="31" t="s">
        <v>2208</v>
      </c>
      <c r="C90" s="34" t="s">
        <v>2064</v>
      </c>
    </row>
    <row r="91" spans="2:4" x14ac:dyDescent="0.4">
      <c r="B91" s="31" t="s">
        <v>2237</v>
      </c>
      <c r="C91" s="34" t="s">
        <v>2238</v>
      </c>
    </row>
    <row r="92" spans="2:4" x14ac:dyDescent="0.4">
      <c r="B92" s="31" t="s">
        <v>2239</v>
      </c>
      <c r="C92" s="34" t="s">
        <v>2073</v>
      </c>
    </row>
    <row r="93" spans="2:4" x14ac:dyDescent="0.4">
      <c r="B93" s="31" t="s">
        <v>2429</v>
      </c>
      <c r="C93" s="34" t="s">
        <v>2071</v>
      </c>
      <c r="D93" s="34" t="s">
        <v>2517</v>
      </c>
    </row>
    <row r="94" spans="2:4" x14ac:dyDescent="0.4">
      <c r="B94" s="31" t="s">
        <v>2240</v>
      </c>
      <c r="C94" s="34" t="s">
        <v>2071</v>
      </c>
      <c r="D94" s="34" t="s">
        <v>2517</v>
      </c>
    </row>
    <row r="95" spans="2:4" x14ac:dyDescent="0.4">
      <c r="B95" s="31" t="s">
        <v>2241</v>
      </c>
      <c r="C95" s="34" t="s">
        <v>2243</v>
      </c>
    </row>
    <row r="96" spans="2:4" x14ac:dyDescent="0.4">
      <c r="B96" s="31" t="s">
        <v>2242</v>
      </c>
      <c r="C96" s="34" t="s">
        <v>2243</v>
      </c>
    </row>
    <row r="97" spans="2:3" x14ac:dyDescent="0.4">
      <c r="B97" s="31" t="s">
        <v>2254</v>
      </c>
      <c r="C97" s="34" t="s">
        <v>2243</v>
      </c>
    </row>
    <row r="98" spans="2:3" x14ac:dyDescent="0.4">
      <c r="B98" s="31" t="s">
        <v>2244</v>
      </c>
      <c r="C98" s="34" t="s">
        <v>2253</v>
      </c>
    </row>
    <row r="99" spans="2:3" x14ac:dyDescent="0.4">
      <c r="B99" s="31" t="s">
        <v>2245</v>
      </c>
      <c r="C99" s="34" t="s">
        <v>2253</v>
      </c>
    </row>
    <row r="100" spans="2:3" x14ac:dyDescent="0.4">
      <c r="B100" s="31" t="s">
        <v>2246</v>
      </c>
      <c r="C100" s="34" t="s">
        <v>2253</v>
      </c>
    </row>
    <row r="101" spans="2:3" x14ac:dyDescent="0.4">
      <c r="B101" s="31" t="s">
        <v>2247</v>
      </c>
      <c r="C101" s="34" t="s">
        <v>2253</v>
      </c>
    </row>
    <row r="102" spans="2:3" x14ac:dyDescent="0.4">
      <c r="B102" s="31" t="s">
        <v>949</v>
      </c>
      <c r="C102" s="34" t="s">
        <v>2253</v>
      </c>
    </row>
    <row r="103" spans="2:3" x14ac:dyDescent="0.4">
      <c r="B103" s="31" t="s">
        <v>2248</v>
      </c>
      <c r="C103" s="34" t="s">
        <v>2253</v>
      </c>
    </row>
    <row r="104" spans="2:3" x14ac:dyDescent="0.4">
      <c r="B104" s="31" t="s">
        <v>2249</v>
      </c>
      <c r="C104" s="34" t="s">
        <v>2253</v>
      </c>
    </row>
    <row r="105" spans="2:3" x14ac:dyDescent="0.4">
      <c r="B105" s="31" t="s">
        <v>2250</v>
      </c>
      <c r="C105" s="34" t="s">
        <v>2253</v>
      </c>
    </row>
    <row r="106" spans="2:3" x14ac:dyDescent="0.4">
      <c r="B106" s="31" t="s">
        <v>2251</v>
      </c>
      <c r="C106" s="34" t="s">
        <v>2253</v>
      </c>
    </row>
    <row r="107" spans="2:3" x14ac:dyDescent="0.4">
      <c r="B107" s="31" t="s">
        <v>2252</v>
      </c>
      <c r="C107" s="34" t="s">
        <v>2253</v>
      </c>
    </row>
    <row r="108" spans="2:3" x14ac:dyDescent="0.4">
      <c r="B108" s="31" t="s">
        <v>2259</v>
      </c>
      <c r="C108" s="34" t="s">
        <v>2253</v>
      </c>
    </row>
    <row r="109" spans="2:3" x14ac:dyDescent="0.4">
      <c r="B109" s="31" t="s">
        <v>2255</v>
      </c>
      <c r="C109" s="34" t="s">
        <v>2093</v>
      </c>
    </row>
    <row r="110" spans="2:3" x14ac:dyDescent="0.4">
      <c r="B110" s="31" t="s">
        <v>2256</v>
      </c>
      <c r="C110" s="34" t="s">
        <v>2093</v>
      </c>
    </row>
    <row r="111" spans="2:3" x14ac:dyDescent="0.4">
      <c r="B111" s="31" t="s">
        <v>2257</v>
      </c>
      <c r="C111" s="34" t="s">
        <v>2093</v>
      </c>
    </row>
    <row r="112" spans="2:3" x14ac:dyDescent="0.4">
      <c r="B112" s="31" t="s">
        <v>2258</v>
      </c>
      <c r="C112" s="34" t="s">
        <v>2093</v>
      </c>
    </row>
    <row r="113" spans="2:3" x14ac:dyDescent="0.4">
      <c r="B113" s="31" t="s">
        <v>2260</v>
      </c>
      <c r="C113" s="34" t="s">
        <v>2074</v>
      </c>
    </row>
    <row r="114" spans="2:3" x14ac:dyDescent="0.4">
      <c r="B114" s="31" t="s">
        <v>2261</v>
      </c>
      <c r="C114" s="34" t="s">
        <v>2074</v>
      </c>
    </row>
    <row r="115" spans="2:3" x14ac:dyDescent="0.4">
      <c r="B115" s="31" t="s">
        <v>2262</v>
      </c>
      <c r="C115" s="34" t="s">
        <v>2074</v>
      </c>
    </row>
    <row r="116" spans="2:3" x14ac:dyDescent="0.4">
      <c r="B116" s="31" t="s">
        <v>2263</v>
      </c>
      <c r="C116" s="34" t="s">
        <v>2074</v>
      </c>
    </row>
    <row r="117" spans="2:3" x14ac:dyDescent="0.4">
      <c r="B117" s="31" t="s">
        <v>2264</v>
      </c>
      <c r="C117" s="34" t="s">
        <v>2074</v>
      </c>
    </row>
    <row r="118" spans="2:3" x14ac:dyDescent="0.4">
      <c r="B118" s="31" t="s">
        <v>2265</v>
      </c>
      <c r="C118" s="34" t="s">
        <v>2074</v>
      </c>
    </row>
    <row r="119" spans="2:3" x14ac:dyDescent="0.4">
      <c r="B119" s="31" t="s">
        <v>2266</v>
      </c>
      <c r="C119" s="34" t="s">
        <v>2079</v>
      </c>
    </row>
    <row r="120" spans="2:3" x14ac:dyDescent="0.4">
      <c r="B120" s="31" t="s">
        <v>2267</v>
      </c>
      <c r="C120" s="34" t="s">
        <v>2079</v>
      </c>
    </row>
    <row r="121" spans="2:3" x14ac:dyDescent="0.4">
      <c r="B121" s="31" t="s">
        <v>2268</v>
      </c>
      <c r="C121" s="34" t="s">
        <v>2079</v>
      </c>
    </row>
    <row r="122" spans="2:3" x14ac:dyDescent="0.4">
      <c r="B122" s="31" t="s">
        <v>2269</v>
      </c>
      <c r="C122" s="34" t="s">
        <v>2270</v>
      </c>
    </row>
    <row r="123" spans="2:3" x14ac:dyDescent="0.4">
      <c r="B123" s="31" t="s">
        <v>2271</v>
      </c>
      <c r="C123" s="34" t="s">
        <v>2270</v>
      </c>
    </row>
    <row r="124" spans="2:3" x14ac:dyDescent="0.4">
      <c r="B124" s="31" t="s">
        <v>2272</v>
      </c>
      <c r="C124" s="34" t="s">
        <v>2270</v>
      </c>
    </row>
    <row r="125" spans="2:3" x14ac:dyDescent="0.4">
      <c r="B125" s="31" t="s">
        <v>2273</v>
      </c>
      <c r="C125" s="34" t="s">
        <v>2281</v>
      </c>
    </row>
    <row r="126" spans="2:3" x14ac:dyDescent="0.4">
      <c r="B126" s="31" t="s">
        <v>2274</v>
      </c>
      <c r="C126" s="34" t="s">
        <v>2281</v>
      </c>
    </row>
    <row r="127" spans="2:3" x14ac:dyDescent="0.4">
      <c r="B127" s="31" t="s">
        <v>2275</v>
      </c>
      <c r="C127" s="34" t="s">
        <v>2281</v>
      </c>
    </row>
    <row r="128" spans="2:3" x14ac:dyDescent="0.4">
      <c r="B128" s="31" t="s">
        <v>2276</v>
      </c>
      <c r="C128" s="34" t="s">
        <v>2281</v>
      </c>
    </row>
    <row r="129" spans="2:4" x14ac:dyDescent="0.4">
      <c r="B129" s="31" t="s">
        <v>2277</v>
      </c>
      <c r="C129" s="34" t="s">
        <v>2281</v>
      </c>
    </row>
    <row r="130" spans="2:4" x14ac:dyDescent="0.4">
      <c r="B130" s="31" t="s">
        <v>2278</v>
      </c>
      <c r="C130" s="34" t="s">
        <v>2281</v>
      </c>
    </row>
    <row r="131" spans="2:4" x14ac:dyDescent="0.4">
      <c r="B131" s="31" t="s">
        <v>2279</v>
      </c>
      <c r="C131" s="34" t="s">
        <v>2281</v>
      </c>
      <c r="D131" s="34" t="s">
        <v>2341</v>
      </c>
    </row>
    <row r="132" spans="2:4" x14ac:dyDescent="0.4">
      <c r="B132" s="31" t="s">
        <v>2280</v>
      </c>
      <c r="C132" s="34" t="s">
        <v>2281</v>
      </c>
      <c r="D132" s="34" t="s">
        <v>2294</v>
      </c>
    </row>
    <row r="133" spans="2:4" x14ac:dyDescent="0.4">
      <c r="B133" s="31" t="s">
        <v>2282</v>
      </c>
      <c r="C133" s="34" t="s">
        <v>2288</v>
      </c>
    </row>
    <row r="134" spans="2:4" x14ac:dyDescent="0.4">
      <c r="B134" s="31" t="s">
        <v>2283</v>
      </c>
      <c r="C134" s="34" t="s">
        <v>2288</v>
      </c>
    </row>
    <row r="135" spans="2:4" x14ac:dyDescent="0.4">
      <c r="B135" s="31" t="s">
        <v>2284</v>
      </c>
      <c r="C135" s="34" t="s">
        <v>2288</v>
      </c>
    </row>
    <row r="136" spans="2:4" x14ac:dyDescent="0.4">
      <c r="B136" s="31" t="s">
        <v>2285</v>
      </c>
      <c r="C136" s="34" t="s">
        <v>2288</v>
      </c>
    </row>
    <row r="137" spans="2:4" x14ac:dyDescent="0.4">
      <c r="B137" s="31" t="s">
        <v>2286</v>
      </c>
      <c r="C137" s="34" t="s">
        <v>2288</v>
      </c>
    </row>
    <row r="138" spans="2:4" x14ac:dyDescent="0.4">
      <c r="B138" s="31" t="s">
        <v>2287</v>
      </c>
      <c r="C138" s="34" t="s">
        <v>2288</v>
      </c>
    </row>
    <row r="139" spans="2:4" x14ac:dyDescent="0.4">
      <c r="B139" s="31" t="s">
        <v>2289</v>
      </c>
      <c r="C139" s="34" t="s">
        <v>2294</v>
      </c>
    </row>
    <row r="140" spans="2:4" x14ac:dyDescent="0.4">
      <c r="B140" s="31" t="s">
        <v>2290</v>
      </c>
      <c r="C140" s="34" t="s">
        <v>2294</v>
      </c>
    </row>
    <row r="141" spans="2:4" x14ac:dyDescent="0.4">
      <c r="B141" s="31" t="s">
        <v>2291</v>
      </c>
      <c r="C141" s="34" t="s">
        <v>2294</v>
      </c>
    </row>
    <row r="142" spans="2:4" x14ac:dyDescent="0.4">
      <c r="B142" s="31" t="s">
        <v>2292</v>
      </c>
      <c r="C142" s="34" t="s">
        <v>2294</v>
      </c>
    </row>
    <row r="143" spans="2:4" x14ac:dyDescent="0.4">
      <c r="B143" s="31" t="s">
        <v>2293</v>
      </c>
      <c r="C143" s="34" t="s">
        <v>2294</v>
      </c>
    </row>
    <row r="144" spans="2:4" x14ac:dyDescent="0.4">
      <c r="B144" s="31" t="s">
        <v>2295</v>
      </c>
      <c r="C144" s="34" t="s">
        <v>2298</v>
      </c>
    </row>
    <row r="145" spans="2:4" x14ac:dyDescent="0.4">
      <c r="B145" s="31" t="s">
        <v>2296</v>
      </c>
      <c r="C145" s="34" t="s">
        <v>2298</v>
      </c>
    </row>
    <row r="146" spans="2:4" x14ac:dyDescent="0.4">
      <c r="B146" s="31" t="s">
        <v>2297</v>
      </c>
      <c r="C146" s="34" t="s">
        <v>2298</v>
      </c>
    </row>
    <row r="147" spans="2:4" x14ac:dyDescent="0.4">
      <c r="B147" s="31" t="s">
        <v>2299</v>
      </c>
      <c r="C147" s="34" t="s">
        <v>2308</v>
      </c>
    </row>
    <row r="148" spans="2:4" x14ac:dyDescent="0.4">
      <c r="B148" s="31" t="s">
        <v>2300</v>
      </c>
      <c r="C148" s="34" t="s">
        <v>2308</v>
      </c>
    </row>
    <row r="149" spans="2:4" x14ac:dyDescent="0.4">
      <c r="B149" s="31" t="s">
        <v>2301</v>
      </c>
      <c r="C149" s="34" t="s">
        <v>2308</v>
      </c>
    </row>
    <row r="150" spans="2:4" x14ac:dyDescent="0.4">
      <c r="B150" s="31" t="s">
        <v>2302</v>
      </c>
      <c r="C150" s="34" t="s">
        <v>2308</v>
      </c>
    </row>
    <row r="151" spans="2:4" x14ac:dyDescent="0.4">
      <c r="B151" s="31" t="s">
        <v>2303</v>
      </c>
      <c r="C151" s="34" t="s">
        <v>2308</v>
      </c>
    </row>
    <row r="152" spans="2:4" x14ac:dyDescent="0.4">
      <c r="B152" s="31" t="s">
        <v>2304</v>
      </c>
      <c r="C152" s="34" t="s">
        <v>2308</v>
      </c>
    </row>
    <row r="153" spans="2:4" x14ac:dyDescent="0.4">
      <c r="B153" s="31" t="s">
        <v>2305</v>
      </c>
      <c r="C153" s="34" t="s">
        <v>2308</v>
      </c>
    </row>
    <row r="154" spans="2:4" x14ac:dyDescent="0.4">
      <c r="B154" s="31" t="s">
        <v>2306</v>
      </c>
      <c r="C154" s="34" t="s">
        <v>2308</v>
      </c>
    </row>
    <row r="155" spans="2:4" x14ac:dyDescent="0.4">
      <c r="B155" s="31" t="s">
        <v>2307</v>
      </c>
      <c r="C155" s="34" t="s">
        <v>2308</v>
      </c>
    </row>
    <row r="156" spans="2:4" x14ac:dyDescent="0.4">
      <c r="B156" s="31" t="s">
        <v>2309</v>
      </c>
      <c r="C156" s="34" t="s">
        <v>2313</v>
      </c>
    </row>
    <row r="157" spans="2:4" x14ac:dyDescent="0.4">
      <c r="B157" s="31" t="s">
        <v>2310</v>
      </c>
      <c r="C157" s="34" t="s">
        <v>2313</v>
      </c>
      <c r="D157" s="34" t="s">
        <v>2357</v>
      </c>
    </row>
    <row r="158" spans="2:4" x14ac:dyDescent="0.4">
      <c r="B158" s="31" t="s">
        <v>2311</v>
      </c>
      <c r="C158" s="34" t="s">
        <v>2313</v>
      </c>
    </row>
    <row r="159" spans="2:4" x14ac:dyDescent="0.4">
      <c r="B159" s="31" t="s">
        <v>2312</v>
      </c>
      <c r="C159" s="34" t="s">
        <v>2313</v>
      </c>
    </row>
    <row r="160" spans="2:4" x14ac:dyDescent="0.4">
      <c r="B160" s="31" t="s">
        <v>2318</v>
      </c>
      <c r="C160" s="34" t="s">
        <v>2326</v>
      </c>
    </row>
    <row r="161" spans="2:4" x14ac:dyDescent="0.4">
      <c r="B161" s="31" t="s">
        <v>2319</v>
      </c>
      <c r="C161" s="34" t="s">
        <v>2326</v>
      </c>
    </row>
    <row r="162" spans="2:4" x14ac:dyDescent="0.4">
      <c r="B162" s="31" t="s">
        <v>2320</v>
      </c>
      <c r="C162" s="34" t="s">
        <v>2326</v>
      </c>
    </row>
    <row r="163" spans="2:4" x14ac:dyDescent="0.4">
      <c r="B163" s="31" t="s">
        <v>2321</v>
      </c>
      <c r="C163" s="34" t="s">
        <v>2326</v>
      </c>
    </row>
    <row r="164" spans="2:4" x14ac:dyDescent="0.4">
      <c r="B164" s="31" t="s">
        <v>2322</v>
      </c>
      <c r="C164" s="34" t="s">
        <v>2326</v>
      </c>
    </row>
    <row r="165" spans="2:4" x14ac:dyDescent="0.4">
      <c r="B165" s="31" t="s">
        <v>2323</v>
      </c>
      <c r="C165" s="34" t="s">
        <v>2326</v>
      </c>
    </row>
    <row r="166" spans="2:4" x14ac:dyDescent="0.4">
      <c r="B166" s="31" t="s">
        <v>2324</v>
      </c>
      <c r="C166" s="34" t="s">
        <v>2326</v>
      </c>
    </row>
    <row r="167" spans="2:4" x14ac:dyDescent="0.4">
      <c r="B167" s="31" t="s">
        <v>2325</v>
      </c>
      <c r="C167" s="34" t="s">
        <v>2326</v>
      </c>
    </row>
    <row r="168" spans="2:4" x14ac:dyDescent="0.4">
      <c r="B168" s="31" t="s">
        <v>2329</v>
      </c>
      <c r="C168" s="34" t="s">
        <v>2331</v>
      </c>
    </row>
    <row r="169" spans="2:4" x14ac:dyDescent="0.4">
      <c r="B169" s="31" t="s">
        <v>2330</v>
      </c>
      <c r="C169" s="34" t="s">
        <v>2331</v>
      </c>
    </row>
    <row r="170" spans="2:4" x14ac:dyDescent="0.4">
      <c r="B170" s="31" t="s">
        <v>2327</v>
      </c>
      <c r="C170" s="34" t="s">
        <v>2331</v>
      </c>
    </row>
    <row r="171" spans="2:4" x14ac:dyDescent="0.4">
      <c r="B171" s="31" t="s">
        <v>2328</v>
      </c>
      <c r="C171" s="34" t="s">
        <v>2331</v>
      </c>
    </row>
    <row r="172" spans="2:4" x14ac:dyDescent="0.4">
      <c r="B172" s="31" t="s">
        <v>2332</v>
      </c>
      <c r="C172" s="34" t="s">
        <v>2337</v>
      </c>
    </row>
    <row r="173" spans="2:4" x14ac:dyDescent="0.4">
      <c r="B173" s="31" t="s">
        <v>2333</v>
      </c>
      <c r="C173" s="34" t="s">
        <v>2337</v>
      </c>
      <c r="D173" s="34" t="s">
        <v>2550</v>
      </c>
    </row>
    <row r="174" spans="2:4" x14ac:dyDescent="0.4">
      <c r="B174" s="31" t="s">
        <v>2334</v>
      </c>
      <c r="C174" s="34" t="s">
        <v>2337</v>
      </c>
    </row>
    <row r="175" spans="2:4" x14ac:dyDescent="0.4">
      <c r="B175" s="31" t="s">
        <v>2335</v>
      </c>
      <c r="C175" s="34" t="s">
        <v>2337</v>
      </c>
    </row>
    <row r="176" spans="2:4" x14ac:dyDescent="0.4">
      <c r="B176" s="31" t="s">
        <v>2336</v>
      </c>
      <c r="C176" s="34" t="s">
        <v>2337</v>
      </c>
    </row>
    <row r="177" spans="2:3" x14ac:dyDescent="0.4">
      <c r="B177" s="31" t="s">
        <v>2338</v>
      </c>
      <c r="C177" s="34" t="s">
        <v>2339</v>
      </c>
    </row>
    <row r="178" spans="2:3" x14ac:dyDescent="0.4">
      <c r="B178" s="31" t="s">
        <v>2462</v>
      </c>
      <c r="C178" s="34" t="s">
        <v>2464</v>
      </c>
    </row>
    <row r="179" spans="2:3" x14ac:dyDescent="0.4">
      <c r="B179" s="31" t="s">
        <v>2463</v>
      </c>
      <c r="C179" s="34" t="s">
        <v>2464</v>
      </c>
    </row>
    <row r="180" spans="2:3" x14ac:dyDescent="0.4">
      <c r="B180" s="31" t="s">
        <v>2340</v>
      </c>
      <c r="C180" s="34" t="s">
        <v>2341</v>
      </c>
    </row>
    <row r="181" spans="2:3" x14ac:dyDescent="0.4">
      <c r="B181" s="31" t="s">
        <v>2342</v>
      </c>
      <c r="C181" s="34" t="s">
        <v>2341</v>
      </c>
    </row>
    <row r="182" spans="2:3" x14ac:dyDescent="0.4">
      <c r="B182" s="31" t="s">
        <v>2343</v>
      </c>
      <c r="C182" s="34" t="s">
        <v>2341</v>
      </c>
    </row>
    <row r="183" spans="2:3" x14ac:dyDescent="0.4">
      <c r="B183" s="31" t="s">
        <v>2344</v>
      </c>
      <c r="C183" s="34" t="s">
        <v>2341</v>
      </c>
    </row>
    <row r="184" spans="2:3" x14ac:dyDescent="0.4">
      <c r="B184" s="31" t="s">
        <v>2345</v>
      </c>
      <c r="C184" s="34" t="s">
        <v>2348</v>
      </c>
    </row>
    <row r="185" spans="2:3" x14ac:dyDescent="0.4">
      <c r="B185" s="31" t="s">
        <v>2346</v>
      </c>
      <c r="C185" s="34" t="s">
        <v>2348</v>
      </c>
    </row>
    <row r="186" spans="2:3" x14ac:dyDescent="0.4">
      <c r="B186" s="31" t="s">
        <v>2347</v>
      </c>
      <c r="C186" s="34" t="s">
        <v>2348</v>
      </c>
    </row>
    <row r="187" spans="2:3" x14ac:dyDescent="0.4">
      <c r="B187" s="31" t="s">
        <v>2349</v>
      </c>
      <c r="C187" s="34" t="s">
        <v>2353</v>
      </c>
    </row>
    <row r="188" spans="2:3" x14ac:dyDescent="0.4">
      <c r="B188" s="31" t="s">
        <v>2350</v>
      </c>
      <c r="C188" s="34" t="s">
        <v>2353</v>
      </c>
    </row>
    <row r="189" spans="2:3" x14ac:dyDescent="0.4">
      <c r="B189" s="31" t="s">
        <v>2351</v>
      </c>
      <c r="C189" s="34" t="s">
        <v>2353</v>
      </c>
    </row>
    <row r="190" spans="2:3" x14ac:dyDescent="0.4">
      <c r="B190" s="31" t="s">
        <v>2352</v>
      </c>
      <c r="C190" s="34" t="s">
        <v>2353</v>
      </c>
    </row>
    <row r="191" spans="2:3" x14ac:dyDescent="0.4">
      <c r="B191" s="31" t="s">
        <v>2354</v>
      </c>
      <c r="C191" s="34" t="s">
        <v>2357</v>
      </c>
    </row>
    <row r="192" spans="2:3" x14ac:dyDescent="0.4">
      <c r="B192" s="31" t="s">
        <v>2355</v>
      </c>
      <c r="C192" s="34" t="s">
        <v>2357</v>
      </c>
    </row>
    <row r="193" spans="2:3" x14ac:dyDescent="0.4">
      <c r="B193" s="31" t="s">
        <v>2356</v>
      </c>
      <c r="C193" s="34" t="s">
        <v>2357</v>
      </c>
    </row>
    <row r="194" spans="2:3" x14ac:dyDescent="0.4">
      <c r="B194" s="31" t="s">
        <v>2163</v>
      </c>
      <c r="C194" s="34" t="s">
        <v>2357</v>
      </c>
    </row>
    <row r="195" spans="2:3" x14ac:dyDescent="0.4">
      <c r="B195" s="31" t="s">
        <v>2358</v>
      </c>
      <c r="C195" s="34" t="s">
        <v>2362</v>
      </c>
    </row>
    <row r="196" spans="2:3" x14ac:dyDescent="0.4">
      <c r="B196" s="31" t="s">
        <v>2359</v>
      </c>
      <c r="C196" s="34" t="s">
        <v>2362</v>
      </c>
    </row>
    <row r="197" spans="2:3" x14ac:dyDescent="0.4">
      <c r="B197" s="31" t="s">
        <v>2360</v>
      </c>
      <c r="C197" s="34" t="s">
        <v>2362</v>
      </c>
    </row>
    <row r="198" spans="2:3" x14ac:dyDescent="0.4">
      <c r="B198" s="31" t="s">
        <v>2361</v>
      </c>
      <c r="C198" s="34" t="s">
        <v>2362</v>
      </c>
    </row>
    <row r="199" spans="2:3" x14ac:dyDescent="0.4">
      <c r="B199" s="31" t="s">
        <v>2363</v>
      </c>
      <c r="C199" s="34" t="s">
        <v>2368</v>
      </c>
    </row>
    <row r="200" spans="2:3" x14ac:dyDescent="0.4">
      <c r="B200" s="31" t="s">
        <v>2364</v>
      </c>
      <c r="C200" s="34" t="s">
        <v>2368</v>
      </c>
    </row>
    <row r="201" spans="2:3" x14ac:dyDescent="0.4">
      <c r="B201" s="31" t="s">
        <v>2365</v>
      </c>
      <c r="C201" s="34" t="s">
        <v>2368</v>
      </c>
    </row>
    <row r="202" spans="2:3" x14ac:dyDescent="0.4">
      <c r="B202" s="31" t="s">
        <v>2366</v>
      </c>
      <c r="C202" s="34" t="s">
        <v>2368</v>
      </c>
    </row>
    <row r="203" spans="2:3" x14ac:dyDescent="0.4">
      <c r="B203" s="31" t="s">
        <v>2367</v>
      </c>
      <c r="C203" s="34" t="s">
        <v>2368</v>
      </c>
    </row>
    <row r="204" spans="2:3" x14ac:dyDescent="0.4">
      <c r="B204" s="31" t="s">
        <v>2370</v>
      </c>
      <c r="C204" s="34" t="s">
        <v>2375</v>
      </c>
    </row>
    <row r="205" spans="2:3" x14ac:dyDescent="0.4">
      <c r="B205" s="31" t="s">
        <v>2369</v>
      </c>
      <c r="C205" s="34" t="s">
        <v>2375</v>
      </c>
    </row>
    <row r="206" spans="2:3" x14ac:dyDescent="0.4">
      <c r="B206" s="31" t="s">
        <v>2371</v>
      </c>
      <c r="C206" s="34" t="s">
        <v>2375</v>
      </c>
    </row>
    <row r="207" spans="2:3" x14ac:dyDescent="0.4">
      <c r="B207" s="31" t="s">
        <v>2372</v>
      </c>
      <c r="C207" s="34" t="s">
        <v>2375</v>
      </c>
    </row>
    <row r="208" spans="2:3" x14ac:dyDescent="0.4">
      <c r="B208" s="31" t="s">
        <v>2373</v>
      </c>
      <c r="C208" s="34" t="s">
        <v>2375</v>
      </c>
    </row>
    <row r="209" spans="2:3" x14ac:dyDescent="0.4">
      <c r="B209" s="31" t="s">
        <v>2374</v>
      </c>
      <c r="C209" s="34" t="s">
        <v>2375</v>
      </c>
    </row>
    <row r="210" spans="2:3" x14ac:dyDescent="0.4">
      <c r="B210" s="31" t="s">
        <v>2376</v>
      </c>
      <c r="C210" s="34" t="s">
        <v>2380</v>
      </c>
    </row>
    <row r="211" spans="2:3" x14ac:dyDescent="0.4">
      <c r="B211" s="31" t="s">
        <v>2377</v>
      </c>
      <c r="C211" s="34" t="s">
        <v>2380</v>
      </c>
    </row>
    <row r="212" spans="2:3" x14ac:dyDescent="0.4">
      <c r="B212" s="31" t="s">
        <v>2378</v>
      </c>
      <c r="C212" s="34" t="s">
        <v>2380</v>
      </c>
    </row>
    <row r="213" spans="2:3" x14ac:dyDescent="0.4">
      <c r="B213" s="31" t="s">
        <v>2379</v>
      </c>
      <c r="C213" s="34" t="s">
        <v>2380</v>
      </c>
    </row>
    <row r="214" spans="2:3" x14ac:dyDescent="0.4">
      <c r="B214" s="31" t="s">
        <v>2381</v>
      </c>
      <c r="C214" s="34" t="s">
        <v>2384</v>
      </c>
    </row>
    <row r="215" spans="2:3" x14ac:dyDescent="0.4">
      <c r="B215" s="31" t="s">
        <v>2382</v>
      </c>
      <c r="C215" s="34" t="s">
        <v>2384</v>
      </c>
    </row>
    <row r="216" spans="2:3" x14ac:dyDescent="0.4">
      <c r="B216" s="31" t="s">
        <v>2383</v>
      </c>
      <c r="C216" s="34" t="s">
        <v>2384</v>
      </c>
    </row>
    <row r="217" spans="2:3" x14ac:dyDescent="0.4">
      <c r="B217" s="31" t="s">
        <v>2392</v>
      </c>
      <c r="C217" s="34" t="s">
        <v>2395</v>
      </c>
    </row>
    <row r="218" spans="2:3" x14ac:dyDescent="0.4">
      <c r="B218" s="31" t="s">
        <v>2396</v>
      </c>
      <c r="C218" s="34" t="s">
        <v>2395</v>
      </c>
    </row>
    <row r="219" spans="2:3" x14ac:dyDescent="0.4">
      <c r="B219" s="31" t="s">
        <v>2393</v>
      </c>
      <c r="C219" s="34" t="s">
        <v>2395</v>
      </c>
    </row>
    <row r="220" spans="2:3" x14ac:dyDescent="0.4">
      <c r="B220" s="31" t="s">
        <v>2394</v>
      </c>
      <c r="C220" s="34" t="s">
        <v>2395</v>
      </c>
    </row>
    <row r="221" spans="2:3" x14ac:dyDescent="0.4">
      <c r="B221" s="31" t="s">
        <v>2397</v>
      </c>
      <c r="C221" s="34" t="s">
        <v>2398</v>
      </c>
    </row>
    <row r="222" spans="2:3" x14ac:dyDescent="0.4">
      <c r="B222" s="31" t="s">
        <v>2399</v>
      </c>
      <c r="C222" s="34" t="s">
        <v>2400</v>
      </c>
    </row>
    <row r="223" spans="2:3" x14ac:dyDescent="0.4">
      <c r="B223" s="31" t="s">
        <v>2401</v>
      </c>
      <c r="C223" s="42" t="s">
        <v>2437</v>
      </c>
    </row>
    <row r="224" spans="2:3" x14ac:dyDescent="0.4">
      <c r="B224" s="31" t="s">
        <v>2576</v>
      </c>
      <c r="C224" s="34" t="s">
        <v>2577</v>
      </c>
    </row>
    <row r="225" spans="2:4" x14ac:dyDescent="0.4">
      <c r="B225" s="31" t="s">
        <v>2573</v>
      </c>
      <c r="C225" s="34" t="s">
        <v>2577</v>
      </c>
    </row>
    <row r="226" spans="2:4" x14ac:dyDescent="0.4">
      <c r="B226" s="31" t="s">
        <v>2566</v>
      </c>
      <c r="C226" s="34" t="s">
        <v>2577</v>
      </c>
      <c r="D226" s="34" t="s">
        <v>2544</v>
      </c>
    </row>
    <row r="227" spans="2:4" x14ac:dyDescent="0.4">
      <c r="B227" s="31" t="s">
        <v>2574</v>
      </c>
      <c r="C227" s="34" t="s">
        <v>2577</v>
      </c>
    </row>
    <row r="228" spans="2:4" x14ac:dyDescent="0.4">
      <c r="B228" s="31" t="s">
        <v>2575</v>
      </c>
      <c r="C228" s="34" t="s">
        <v>2577</v>
      </c>
    </row>
    <row r="229" spans="2:4" x14ac:dyDescent="0.4">
      <c r="B229" s="31" t="s">
        <v>2402</v>
      </c>
      <c r="C229" s="34" t="s">
        <v>2405</v>
      </c>
    </row>
    <row r="230" spans="2:4" x14ac:dyDescent="0.4">
      <c r="B230" s="31" t="s">
        <v>2403</v>
      </c>
      <c r="C230" s="34" t="s">
        <v>2405</v>
      </c>
    </row>
    <row r="231" spans="2:4" x14ac:dyDescent="0.4">
      <c r="B231" s="31" t="s">
        <v>2404</v>
      </c>
      <c r="C231" s="34" t="s">
        <v>2405</v>
      </c>
    </row>
    <row r="232" spans="2:4" x14ac:dyDescent="0.4">
      <c r="B232" s="31" t="s">
        <v>2324</v>
      </c>
      <c r="C232" s="34" t="s">
        <v>2405</v>
      </c>
    </row>
    <row r="233" spans="2:4" x14ac:dyDescent="0.4">
      <c r="B233" s="31" t="s">
        <v>2406</v>
      </c>
      <c r="C233" s="34" t="s">
        <v>2409</v>
      </c>
    </row>
    <row r="234" spans="2:4" x14ac:dyDescent="0.4">
      <c r="B234" s="31" t="s">
        <v>2407</v>
      </c>
      <c r="C234" s="34" t="s">
        <v>2409</v>
      </c>
    </row>
    <row r="235" spans="2:4" x14ac:dyDescent="0.4">
      <c r="B235" s="31" t="s">
        <v>2408</v>
      </c>
      <c r="C235" s="34" t="s">
        <v>2409</v>
      </c>
    </row>
    <row r="236" spans="2:4" x14ac:dyDescent="0.4">
      <c r="B236" s="31" t="s">
        <v>2410</v>
      </c>
      <c r="C236" s="34" t="s">
        <v>2415</v>
      </c>
    </row>
    <row r="237" spans="2:4" x14ac:dyDescent="0.4">
      <c r="B237" s="31" t="s">
        <v>2411</v>
      </c>
      <c r="C237" s="34" t="s">
        <v>2415</v>
      </c>
    </row>
    <row r="238" spans="2:4" x14ac:dyDescent="0.4">
      <c r="B238" s="31" t="s">
        <v>2412</v>
      </c>
      <c r="C238" s="34" t="s">
        <v>2415</v>
      </c>
    </row>
    <row r="239" spans="2:4" x14ac:dyDescent="0.4">
      <c r="B239" s="31" t="s">
        <v>2413</v>
      </c>
      <c r="C239" s="34" t="s">
        <v>2415</v>
      </c>
    </row>
    <row r="240" spans="2:4" x14ac:dyDescent="0.4">
      <c r="B240" s="31" t="s">
        <v>2414</v>
      </c>
      <c r="C240" s="34" t="s">
        <v>2415</v>
      </c>
    </row>
    <row r="241" spans="2:3" x14ac:dyDescent="0.4">
      <c r="B241" s="31" t="s">
        <v>2416</v>
      </c>
      <c r="C241" s="34" t="s">
        <v>2417</v>
      </c>
    </row>
    <row r="242" spans="2:3" x14ac:dyDescent="0.4">
      <c r="B242" s="31" t="s">
        <v>2418</v>
      </c>
      <c r="C242" s="34" t="s">
        <v>2419</v>
      </c>
    </row>
    <row r="243" spans="2:3" x14ac:dyDescent="0.4">
      <c r="B243" s="31" t="s">
        <v>2420</v>
      </c>
      <c r="C243" s="34" t="s">
        <v>2421</v>
      </c>
    </row>
    <row r="244" spans="2:3" x14ac:dyDescent="0.4">
      <c r="B244" s="31" t="s">
        <v>2422</v>
      </c>
      <c r="C244" s="34" t="s">
        <v>2427</v>
      </c>
    </row>
    <row r="245" spans="2:3" x14ac:dyDescent="0.4">
      <c r="B245" s="31" t="s">
        <v>2423</v>
      </c>
      <c r="C245" s="34" t="s">
        <v>2427</v>
      </c>
    </row>
    <row r="246" spans="2:3" x14ac:dyDescent="0.4">
      <c r="B246" s="31" t="s">
        <v>2424</v>
      </c>
      <c r="C246" s="34" t="s">
        <v>2427</v>
      </c>
    </row>
    <row r="247" spans="2:3" x14ac:dyDescent="0.4">
      <c r="B247" s="31" t="s">
        <v>2425</v>
      </c>
      <c r="C247" s="34" t="s">
        <v>2427</v>
      </c>
    </row>
    <row r="248" spans="2:3" x14ac:dyDescent="0.4">
      <c r="B248" s="31" t="s">
        <v>2426</v>
      </c>
      <c r="C248" s="34" t="s">
        <v>2427</v>
      </c>
    </row>
    <row r="249" spans="2:3" x14ac:dyDescent="0.4">
      <c r="B249" s="31" t="s">
        <v>2428</v>
      </c>
      <c r="C249" s="32" t="s">
        <v>2517</v>
      </c>
    </row>
    <row r="250" spans="2:3" x14ac:dyDescent="0.4">
      <c r="B250" s="31" t="s">
        <v>2515</v>
      </c>
      <c r="C250" s="32" t="s">
        <v>2517</v>
      </c>
    </row>
    <row r="251" spans="2:3" x14ac:dyDescent="0.4">
      <c r="B251" s="31" t="s">
        <v>2516</v>
      </c>
      <c r="C251" s="32" t="s">
        <v>2517</v>
      </c>
    </row>
    <row r="252" spans="2:3" x14ac:dyDescent="0.4">
      <c r="B252" s="31" t="s">
        <v>2430</v>
      </c>
      <c r="C252" s="32" t="s">
        <v>2517</v>
      </c>
    </row>
    <row r="253" spans="2:3" x14ac:dyDescent="0.4">
      <c r="B253" s="31" t="s">
        <v>2438</v>
      </c>
      <c r="C253" s="34" t="s">
        <v>2077</v>
      </c>
    </row>
    <row r="254" spans="2:3" x14ac:dyDescent="0.4">
      <c r="B254" s="31" t="s">
        <v>2439</v>
      </c>
      <c r="C254" s="34" t="s">
        <v>2077</v>
      </c>
    </row>
    <row r="255" spans="2:3" x14ac:dyDescent="0.4">
      <c r="B255" s="31" t="s">
        <v>2440</v>
      </c>
      <c r="C255" s="34" t="s">
        <v>2077</v>
      </c>
    </row>
    <row r="256" spans="2:3" x14ac:dyDescent="0.4">
      <c r="B256" s="31" t="s">
        <v>2441</v>
      </c>
      <c r="C256" s="34" t="s">
        <v>2077</v>
      </c>
    </row>
    <row r="257" spans="2:3" x14ac:dyDescent="0.4">
      <c r="B257" s="31" t="s">
        <v>2443</v>
      </c>
      <c r="C257" s="34" t="s">
        <v>2076</v>
      </c>
    </row>
    <row r="258" spans="2:3" x14ac:dyDescent="0.4">
      <c r="B258" s="31" t="s">
        <v>2444</v>
      </c>
      <c r="C258" s="32" t="s">
        <v>2085</v>
      </c>
    </row>
    <row r="259" spans="2:3" x14ac:dyDescent="0.4">
      <c r="B259" s="31" t="s">
        <v>2445</v>
      </c>
      <c r="C259" s="32" t="s">
        <v>2085</v>
      </c>
    </row>
    <row r="260" spans="2:3" x14ac:dyDescent="0.4">
      <c r="B260" s="31" t="s">
        <v>2446</v>
      </c>
      <c r="C260" s="32" t="s">
        <v>2085</v>
      </c>
    </row>
    <row r="261" spans="2:3" x14ac:dyDescent="0.4">
      <c r="B261" s="31" t="s">
        <v>2447</v>
      </c>
      <c r="C261" s="34" t="s">
        <v>2454</v>
      </c>
    </row>
    <row r="262" spans="2:3" x14ac:dyDescent="0.4">
      <c r="B262" s="31" t="s">
        <v>2448</v>
      </c>
      <c r="C262" s="34" t="s">
        <v>2454</v>
      </c>
    </row>
    <row r="263" spans="2:3" x14ac:dyDescent="0.4">
      <c r="B263" s="31" t="s">
        <v>2449</v>
      </c>
      <c r="C263" s="34" t="s">
        <v>2454</v>
      </c>
    </row>
    <row r="264" spans="2:3" x14ac:dyDescent="0.4">
      <c r="B264" s="31" t="s">
        <v>2450</v>
      </c>
      <c r="C264" s="34" t="s">
        <v>2454</v>
      </c>
    </row>
    <row r="265" spans="2:3" x14ac:dyDescent="0.4">
      <c r="B265" s="31" t="s">
        <v>2451</v>
      </c>
      <c r="C265" s="34" t="s">
        <v>2454</v>
      </c>
    </row>
    <row r="266" spans="2:3" x14ac:dyDescent="0.4">
      <c r="B266" s="31" t="s">
        <v>2452</v>
      </c>
      <c r="C266" s="34" t="s">
        <v>2454</v>
      </c>
    </row>
    <row r="267" spans="2:3" x14ac:dyDescent="0.4">
      <c r="B267" s="31" t="s">
        <v>2453</v>
      </c>
      <c r="C267" s="34" t="s">
        <v>2454</v>
      </c>
    </row>
    <row r="268" spans="2:3" x14ac:dyDescent="0.4">
      <c r="B268" s="31" t="s">
        <v>2299</v>
      </c>
      <c r="C268" s="34" t="s">
        <v>2454</v>
      </c>
    </row>
    <row r="269" spans="2:3" x14ac:dyDescent="0.4">
      <c r="B269" s="31" t="s">
        <v>2455</v>
      </c>
      <c r="C269" s="34" t="s">
        <v>2464</v>
      </c>
    </row>
    <row r="270" spans="2:3" x14ac:dyDescent="0.4">
      <c r="B270" s="31" t="s">
        <v>2456</v>
      </c>
      <c r="C270" s="34" t="s">
        <v>2464</v>
      </c>
    </row>
    <row r="271" spans="2:3" x14ac:dyDescent="0.4">
      <c r="B271" s="31" t="s">
        <v>2457</v>
      </c>
      <c r="C271" s="34" t="s">
        <v>2464</v>
      </c>
    </row>
    <row r="272" spans="2:3" x14ac:dyDescent="0.4">
      <c r="B272" s="31" t="s">
        <v>2458</v>
      </c>
      <c r="C272" s="34" t="s">
        <v>2464</v>
      </c>
    </row>
    <row r="273" spans="2:3" x14ac:dyDescent="0.4">
      <c r="B273" s="31" t="s">
        <v>2459</v>
      </c>
      <c r="C273" s="34" t="s">
        <v>2464</v>
      </c>
    </row>
    <row r="274" spans="2:3" x14ac:dyDescent="0.4">
      <c r="B274" s="31" t="s">
        <v>2208</v>
      </c>
      <c r="C274" s="34" t="s">
        <v>2464</v>
      </c>
    </row>
    <row r="275" spans="2:3" x14ac:dyDescent="0.4">
      <c r="B275" s="31" t="s">
        <v>2460</v>
      </c>
      <c r="C275" s="34" t="s">
        <v>2464</v>
      </c>
    </row>
    <row r="276" spans="2:3" x14ac:dyDescent="0.4">
      <c r="B276" s="31" t="s">
        <v>2461</v>
      </c>
      <c r="C276" s="34" t="s">
        <v>2464</v>
      </c>
    </row>
    <row r="277" spans="2:3" x14ac:dyDescent="0.4">
      <c r="B277" s="31" t="s">
        <v>2465</v>
      </c>
      <c r="C277" s="32" t="s">
        <v>2442</v>
      </c>
    </row>
    <row r="278" spans="2:3" x14ac:dyDescent="0.4">
      <c r="B278" s="31" t="s">
        <v>2172</v>
      </c>
      <c r="C278" s="32" t="s">
        <v>2442</v>
      </c>
    </row>
    <row r="279" spans="2:3" x14ac:dyDescent="0.4">
      <c r="B279" s="31" t="s">
        <v>2466</v>
      </c>
      <c r="C279" s="32" t="s">
        <v>2442</v>
      </c>
    </row>
    <row r="280" spans="2:3" x14ac:dyDescent="0.4">
      <c r="B280" s="31" t="s">
        <v>2467</v>
      </c>
      <c r="C280" s="34" t="s">
        <v>2469</v>
      </c>
    </row>
    <row r="281" spans="2:3" x14ac:dyDescent="0.4">
      <c r="B281" s="31" t="s">
        <v>2468</v>
      </c>
      <c r="C281" s="34" t="s">
        <v>2469</v>
      </c>
    </row>
    <row r="282" spans="2:3" x14ac:dyDescent="0.4">
      <c r="B282" s="31" t="s">
        <v>2470</v>
      </c>
      <c r="C282" s="32" t="s">
        <v>2070</v>
      </c>
    </row>
    <row r="283" spans="2:3" x14ac:dyDescent="0.4">
      <c r="B283" s="31" t="s">
        <v>2471</v>
      </c>
      <c r="C283" s="32" t="s">
        <v>2070</v>
      </c>
    </row>
    <row r="284" spans="2:3" x14ac:dyDescent="0.4">
      <c r="B284" s="31" t="s">
        <v>2472</v>
      </c>
      <c r="C284" s="32" t="s">
        <v>2070</v>
      </c>
    </row>
    <row r="285" spans="2:3" x14ac:dyDescent="0.4">
      <c r="B285" s="31" t="s">
        <v>2473</v>
      </c>
      <c r="C285" s="34" t="s">
        <v>2235</v>
      </c>
    </row>
    <row r="286" spans="2:3" x14ac:dyDescent="0.4">
      <c r="B286" s="31" t="s">
        <v>2474</v>
      </c>
      <c r="C286" s="34" t="s">
        <v>2235</v>
      </c>
    </row>
    <row r="287" spans="2:3" x14ac:dyDescent="0.4">
      <c r="B287" s="31" t="s">
        <v>2551</v>
      </c>
      <c r="C287" s="34" t="s">
        <v>2535</v>
      </c>
    </row>
    <row r="288" spans="2:3" x14ac:dyDescent="0.4">
      <c r="B288" s="31" t="s">
        <v>2552</v>
      </c>
      <c r="C288" s="34" t="s">
        <v>2535</v>
      </c>
    </row>
    <row r="289" spans="2:3" x14ac:dyDescent="0.4">
      <c r="B289" s="31" t="s">
        <v>2553</v>
      </c>
      <c r="C289" s="34" t="s">
        <v>2535</v>
      </c>
    </row>
    <row r="290" spans="2:3" x14ac:dyDescent="0.4">
      <c r="B290" s="31" t="s">
        <v>2554</v>
      </c>
      <c r="C290" s="32" t="s">
        <v>2542</v>
      </c>
    </row>
    <row r="291" spans="2:3" x14ac:dyDescent="0.4">
      <c r="B291" s="31" t="s">
        <v>2555</v>
      </c>
      <c r="C291" s="34" t="s">
        <v>2556</v>
      </c>
    </row>
    <row r="292" spans="2:3" x14ac:dyDescent="0.4">
      <c r="B292" s="31" t="s">
        <v>2557</v>
      </c>
      <c r="C292" s="34" t="s">
        <v>2561</v>
      </c>
    </row>
    <row r="293" spans="2:3" x14ac:dyDescent="0.4">
      <c r="B293" s="31" t="s">
        <v>2558</v>
      </c>
      <c r="C293" s="34" t="s">
        <v>2561</v>
      </c>
    </row>
    <row r="294" spans="2:3" x14ac:dyDescent="0.4">
      <c r="B294" s="31" t="s">
        <v>2172</v>
      </c>
      <c r="C294" s="34" t="s">
        <v>2561</v>
      </c>
    </row>
    <row r="295" spans="2:3" x14ac:dyDescent="0.4">
      <c r="B295" s="31" t="s">
        <v>2173</v>
      </c>
      <c r="C295" s="34" t="s">
        <v>2561</v>
      </c>
    </row>
    <row r="296" spans="2:3" x14ac:dyDescent="0.4">
      <c r="B296" s="31" t="s">
        <v>2559</v>
      </c>
      <c r="C296" s="34" t="s">
        <v>2561</v>
      </c>
    </row>
    <row r="297" spans="2:3" x14ac:dyDescent="0.4">
      <c r="B297" s="31" t="s">
        <v>2560</v>
      </c>
      <c r="C297" s="34" t="s">
        <v>2561</v>
      </c>
    </row>
    <row r="298" spans="2:3" x14ac:dyDescent="0.4">
      <c r="B298" s="31" t="s">
        <v>2309</v>
      </c>
      <c r="C298" s="34" t="s">
        <v>2549</v>
      </c>
    </row>
    <row r="299" spans="2:3" x14ac:dyDescent="0.4">
      <c r="B299" s="31" t="s">
        <v>2562</v>
      </c>
      <c r="C299" s="34" t="s">
        <v>2549</v>
      </c>
    </row>
    <row r="300" spans="2:3" x14ac:dyDescent="0.4">
      <c r="B300" s="31" t="s">
        <v>2563</v>
      </c>
      <c r="C300" s="34" t="s">
        <v>2549</v>
      </c>
    </row>
    <row r="301" spans="2:3" x14ac:dyDescent="0.4">
      <c r="B301" s="31" t="s">
        <v>2565</v>
      </c>
      <c r="C301" s="32" t="s">
        <v>2544</v>
      </c>
    </row>
    <row r="302" spans="2:3" x14ac:dyDescent="0.4">
      <c r="B302" s="31" t="s">
        <v>2720</v>
      </c>
      <c r="C302" s="34" t="s">
        <v>2702</v>
      </c>
    </row>
  </sheetData>
  <phoneticPr fontId="1"/>
  <hyperlinks>
    <hyperlink ref="C2" r:id="rId1" xr:uid="{0EB44661-183D-4646-80E2-AA1D4A96912E}"/>
    <hyperlink ref="C25" r:id="rId2" xr:uid="{105BFC71-5226-47EF-8B88-42C08E33B880}"/>
    <hyperlink ref="C26" r:id="rId3" xr:uid="{158B496B-D8CE-4C70-B207-69BDFE910B67}"/>
    <hyperlink ref="C27" r:id="rId4" xr:uid="{7F7C648E-7156-4AE0-95FF-F49439BC92D7}"/>
    <hyperlink ref="C28" r:id="rId5" xr:uid="{74A23EE2-81A4-492E-9B92-8B15616E0D11}"/>
    <hyperlink ref="C29" r:id="rId6" xr:uid="{D535204F-D3DC-4E0D-B9F9-99AF95FA4ACD}"/>
    <hyperlink ref="C30" r:id="rId7" xr:uid="{F949B8EB-99D0-4C2B-B0EB-F92A3C0F8F49}"/>
    <hyperlink ref="C31" r:id="rId8" xr:uid="{710F7492-3506-4999-BAFA-7F573B8E3A8A}"/>
    <hyperlink ref="C32" r:id="rId9" xr:uid="{B592B173-D1C1-4413-8C1C-C0AF4E431AD3}"/>
    <hyperlink ref="C33" r:id="rId10" xr:uid="{6C4BA2E9-C727-43B0-A29D-D09435B3A288}"/>
    <hyperlink ref="C34" r:id="rId11" xr:uid="{B43E2E47-BFAF-448C-B814-95A48DA6EFA1}"/>
    <hyperlink ref="C35" r:id="rId12" xr:uid="{1E906BC9-34FA-4F98-8758-5B43998F4730}"/>
    <hyperlink ref="C36" r:id="rId13" xr:uid="{42A07109-BDC8-435A-AF7F-AB27AB51DD2E}"/>
    <hyperlink ref="C37" r:id="rId14" xr:uid="{9529E9B7-FEF9-478F-98E2-12EBDA4A1130}"/>
    <hyperlink ref="C38" r:id="rId15" xr:uid="{9E1AA43B-AC4A-4B02-A331-BD7ABB83419D}"/>
    <hyperlink ref="C39" r:id="rId16" xr:uid="{7A8A5653-053D-4678-8755-B3EB6C021AEC}"/>
    <hyperlink ref="C40" r:id="rId17" xr:uid="{49A53077-CE6B-4084-B12F-727CDC458BF6}"/>
    <hyperlink ref="C41" r:id="rId18" xr:uid="{3A9C678F-E518-4BD6-A5B9-951EC9806F52}"/>
    <hyperlink ref="C42" r:id="rId19" xr:uid="{E1ABD804-6F32-4267-9363-5C4BB0DE4380}"/>
    <hyperlink ref="C43" r:id="rId20" xr:uid="{1F532866-B172-4F5C-866C-F14392BC837D}"/>
    <hyperlink ref="C44" r:id="rId21" xr:uid="{DEDE46D3-59A7-45B3-B474-6064F9E31660}"/>
    <hyperlink ref="C45" r:id="rId22" xr:uid="{868BF141-2DE6-497E-9FBC-4AE8EC561280}"/>
    <hyperlink ref="C46" r:id="rId23" xr:uid="{1A9D101D-5436-418A-B1D3-A10E55DCAEB0}"/>
    <hyperlink ref="C47" r:id="rId24" xr:uid="{0A543EEC-AD1C-411F-A874-A73994BFF645}"/>
    <hyperlink ref="C48" r:id="rId25" xr:uid="{FAA02E2D-6E05-489A-8A5A-296E4ADE0743}"/>
    <hyperlink ref="C49" r:id="rId26" xr:uid="{E76663FA-92C7-4086-959F-FF12131FC1F4}"/>
    <hyperlink ref="C50" r:id="rId27" xr:uid="{3BB3B688-BCDB-4AB1-9E05-E996CDE2B37C}"/>
    <hyperlink ref="C51" r:id="rId28" xr:uid="{5F7D4CDD-3586-460F-9482-2C0C25F4310E}"/>
    <hyperlink ref="C52" r:id="rId29" xr:uid="{7A32BA52-AC52-440B-A5C8-B8010FDB3A3E}"/>
    <hyperlink ref="C53" r:id="rId30" xr:uid="{1755F908-0626-4A13-8A41-AE3B869ED573}"/>
    <hyperlink ref="C54" r:id="rId31" xr:uid="{DC52ED96-0637-49FF-A28E-36F20A51C33C}"/>
    <hyperlink ref="C55:C69" r:id="rId32" display="地下街について" xr:uid="{CB188704-BC12-4A02-9FD0-638054C90375}"/>
    <hyperlink ref="C70" r:id="rId33" xr:uid="{7928797A-C5DF-4728-9549-ABC52D4EACEE}"/>
    <hyperlink ref="D33" r:id="rId34" xr:uid="{F76AB73C-F876-4DF2-96C6-6163DA320730}"/>
    <hyperlink ref="C71:C90" r:id="rId35" display="沿革？" xr:uid="{F4EE62D7-4C6F-4EA2-9B9C-33FB3A6EC0E3}"/>
    <hyperlink ref="C91" r:id="rId36" xr:uid="{583C6BD0-F972-4FCE-9396-2CBCC08D6FDE}"/>
    <hyperlink ref="C92" r:id="rId37" xr:uid="{F06D86F4-AB96-409E-8DDD-94645E5FE304}"/>
    <hyperlink ref="C94" r:id="rId38" xr:uid="{650ECBC7-1D3E-47F9-A04B-91409F4AFD82}"/>
    <hyperlink ref="C95" r:id="rId39" xr:uid="{75F24C6E-979A-4ECB-95F5-2AB7E52FFB3E}"/>
    <hyperlink ref="C96" r:id="rId40" xr:uid="{D9C0E6B3-F6F4-4826-91A7-073BB4A33382}"/>
    <hyperlink ref="C98" r:id="rId41" xr:uid="{C71D6526-B182-4F76-AF5F-B6B680D9C45A}"/>
    <hyperlink ref="C99:C107" r:id="rId42" display="そば屋" xr:uid="{40157A7E-CAB9-47AA-A338-F67391C4503D}"/>
    <hyperlink ref="C97" r:id="rId43" xr:uid="{420879CC-989A-4756-8081-0E73B34C1E0E}"/>
    <hyperlink ref="C109" r:id="rId44" xr:uid="{08AFE583-4426-461B-979B-F49FE83DAB8B}"/>
    <hyperlink ref="C110" r:id="rId45" xr:uid="{4B7DEC01-3433-493D-B1C4-DB5A8E94100F}"/>
    <hyperlink ref="C111" r:id="rId46" xr:uid="{033DA32D-FAE1-4F14-8183-633E4BD0685F}"/>
    <hyperlink ref="C112" r:id="rId47" xr:uid="{F5795EE1-139B-45EA-B58B-15E854EAAE5A}"/>
    <hyperlink ref="C108" r:id="rId48" xr:uid="{F2014E68-B566-4189-B5F6-D6EDBE18923E}"/>
    <hyperlink ref="C113" r:id="rId49" xr:uid="{15F4FF79-5F95-4C8F-A6B7-69888A1FCE6D}"/>
    <hyperlink ref="C114:C118" r:id="rId50" display="化しょう屋" xr:uid="{C36F89E4-6767-4188-A309-322ABD51A23A}"/>
    <hyperlink ref="C119" r:id="rId51" xr:uid="{B25A19F7-C29D-4D44-AC0C-A8DB47267A0C}"/>
    <hyperlink ref="C120" r:id="rId52" xr:uid="{A1A626FD-0CE4-486F-8590-123D1319E54C}"/>
    <hyperlink ref="C121" r:id="rId53" xr:uid="{1F8B8F90-51A5-4592-921F-1E537FBAAB02}"/>
    <hyperlink ref="C122" r:id="rId54" xr:uid="{87BFCFB8-139F-4781-AF48-25318B2E8D71}"/>
    <hyperlink ref="C123" r:id="rId55" xr:uid="{F40A3028-CD41-4895-810E-85739533F5BA}"/>
    <hyperlink ref="C124" r:id="rId56" xr:uid="{C3EF1F2D-B6BA-4AE2-8B14-1F43AFE56D4E}"/>
    <hyperlink ref="C125" r:id="rId57" xr:uid="{D6C949E3-BDA6-4B98-8D49-849E42D416EA}"/>
    <hyperlink ref="C126:C132" r:id="rId58" display="すし屋" xr:uid="{19CFE92A-BD95-4F91-A784-CB5138E9E5C4}"/>
    <hyperlink ref="C133" r:id="rId59" xr:uid="{C0DB6F37-9F22-4FB7-9A59-FCA8F06DF804}"/>
    <hyperlink ref="C134:C138" r:id="rId60" display="らーめん屋" xr:uid="{63D1B813-7B17-494F-BFD0-6ED9C23C668E}"/>
    <hyperlink ref="C139" r:id="rId61" xr:uid="{64CD0AF5-A92E-4E7F-AE38-241FA8F9302D}"/>
    <hyperlink ref="C140:C143" r:id="rId62" display="ばー" xr:uid="{BEED3297-1DC6-4F65-91E1-A74DB10D382C}"/>
    <hyperlink ref="C144" r:id="rId63" xr:uid="{C5C057AE-4947-4F4D-ADF4-6DFE9B7B1190}"/>
    <hyperlink ref="C145:C146" r:id="rId64" display="とこ屋" xr:uid="{B04EB1D9-D776-4BFF-BCDF-98FA89FFC4F6}"/>
    <hyperlink ref="C147" r:id="rId65" xr:uid="{46895BCD-A492-42BA-8537-5F5398E80386}"/>
    <hyperlink ref="C148:C155" r:id="rId66" display="いざか屋" xr:uid="{39266F4C-B934-4957-9402-7811D42AFD6B}"/>
    <hyperlink ref="C156" r:id="rId67" xr:uid="{F198DF54-7E95-4394-BF80-8CA922FC47ED}"/>
    <hyperlink ref="C157:C159" r:id="rId68" display="おにぎり屋" xr:uid="{398BF49B-AA77-45F5-BA77-9B3365BBE736}"/>
    <hyperlink ref="C160" r:id="rId69" xr:uid="{F98B3542-E61E-4C4A-A541-D41290107680}"/>
    <hyperlink ref="C161:C167" r:id="rId70" display="中かりょうり屋" xr:uid="{AE87470A-3000-4C0E-8365-72BCD5DCBF4F}"/>
    <hyperlink ref="C168" r:id="rId71" xr:uid="{0363DCBF-B486-4536-A7A7-05A05D0E5287}"/>
    <hyperlink ref="C169:C171" r:id="rId72" display="きっさ屋" xr:uid="{0041D719-6E11-42B7-8456-4D8C7DB65987}"/>
    <hyperlink ref="C172" r:id="rId73" xr:uid="{D6B4BEFA-5954-43EB-B798-B392F55C96FE}"/>
    <hyperlink ref="C173:C176" r:id="rId74" display="花屋" xr:uid="{21461B74-589B-4F4E-B344-8583D17BD3E1}"/>
    <hyperlink ref="C177" r:id="rId75" xr:uid="{FB788C7B-4C32-4CE4-91C4-B0A314142046}"/>
    <hyperlink ref="C180" r:id="rId76" xr:uid="{D8150307-7C4F-4883-93D1-DE938BDA255F}"/>
    <hyperlink ref="D131" r:id="rId77" xr:uid="{D7B5F7EF-8A3E-4EF9-BE9B-87BD25B1DEC3}"/>
    <hyperlink ref="C181:C183" r:id="rId78" display="うらない屋" xr:uid="{BD5B9AA7-BEE9-4B4D-869C-96CBA2E0AB53}"/>
    <hyperlink ref="C184" r:id="rId79" xr:uid="{A956E415-925E-4BE7-8C7B-34E6470531C7}"/>
    <hyperlink ref="C185:C186" r:id="rId80" display="じゃずばー" xr:uid="{F3C1261E-4D64-4AF6-B5B1-D120DE06DE1E}"/>
    <hyperlink ref="C187" r:id="rId81" xr:uid="{23FCEF9A-0D1E-42CA-AFD5-D7B4C91E6D26}"/>
    <hyperlink ref="C188:C190" r:id="rId82" display="れこーど屋" xr:uid="{67DEEB48-8CEC-4228-8750-64B86E077C59}"/>
    <hyperlink ref="C191" r:id="rId83" xr:uid="{80EE8314-4DD1-46C4-AE4C-CA0FD6A68933}"/>
    <hyperlink ref="C192:C194" r:id="rId84" display="くつ屋" xr:uid="{3788FC8E-1620-4335-8625-8DCA71AC925D}"/>
    <hyperlink ref="D157" r:id="rId85" xr:uid="{1AC6C13F-D00F-4482-98BE-1C2CCF13D05D}"/>
    <hyperlink ref="C195" r:id="rId86" xr:uid="{63988F07-EA6D-4F26-9226-45FD114364DC}"/>
    <hyperlink ref="C196:C198" r:id="rId87" display="本屋" xr:uid="{2A3A625B-6EA8-437E-81C7-68CF5E700BFC}"/>
    <hyperlink ref="C199" r:id="rId88" xr:uid="{11E58C7C-D20F-4332-BA3A-857C1491B32B}"/>
    <hyperlink ref="C200:C203" r:id="rId89" display="けーき屋" xr:uid="{88195962-BB93-453B-81A1-52FA5CBE67AF}"/>
    <hyperlink ref="C204" r:id="rId90" xr:uid="{724A06D0-79BF-46A2-B58C-0C3ECBBFDB45}"/>
    <hyperlink ref="C205:C209" r:id="rId91" display="清そう屋" xr:uid="{9E37B236-0ED6-47F6-BF18-86B12BD98E6B}"/>
    <hyperlink ref="C210" r:id="rId92" xr:uid="{EF971420-17D4-4182-8132-56F00A167A2C}"/>
    <hyperlink ref="C211:C213" r:id="rId93" display="時けい屋" xr:uid="{6C295750-0F27-47E0-9129-453CA0F3E98B}"/>
    <hyperlink ref="C214" r:id="rId94" xr:uid="{DB4BE4EC-BA0C-456D-B5AB-A0C311E10FC4}"/>
    <hyperlink ref="C215:C216" r:id="rId95" display="くすり屋" xr:uid="{C21A8AF9-DE63-4441-BD5E-F5FF047CB554}"/>
    <hyperlink ref="C217" r:id="rId96" xr:uid="{D901BE77-9912-45E3-9CE7-FF143E1A7C55}"/>
    <hyperlink ref="C219:C220" r:id="rId97" display="くりーにんぐ屋" xr:uid="{404FE6C1-57C6-4D57-9720-912B76B3036C}"/>
    <hyperlink ref="C218" r:id="rId98" xr:uid="{E32A61DB-E7C1-4C00-A9EA-3C2EE69560FA}"/>
    <hyperlink ref="C221" r:id="rId99" xr:uid="{F3012094-E137-4787-AE48-4A8F62EFE745}"/>
    <hyperlink ref="C222" r:id="rId100" xr:uid="{25CF5C66-B1C6-4B3A-84C7-C4ADF6D77959}"/>
    <hyperlink ref="C229" r:id="rId101" xr:uid="{839EE523-C1EB-477A-937F-EE6EB1036699}"/>
    <hyperlink ref="C230:C232" r:id="rId102" display="さかな屋" xr:uid="{07DEDAE6-0F0E-4F55-97E0-BD142C9B27AE}"/>
    <hyperlink ref="C233" r:id="rId103" xr:uid="{502DBEC4-B7C5-4CFC-8584-ABDD4EA3F6ED}"/>
    <hyperlink ref="C234:C235" r:id="rId104" display="にく屋" xr:uid="{DC6B22BE-216D-4D5A-8D80-2FAFCDB0AC3F}"/>
    <hyperlink ref="C236" r:id="rId105" xr:uid="{EE401DC3-88F7-4249-8C9A-96605006DE2C}"/>
    <hyperlink ref="C237:C240" r:id="rId106" display="やお屋" xr:uid="{12F780BD-5767-45CC-9334-FFF2BD577551}"/>
    <hyperlink ref="C241" r:id="rId107" xr:uid="{AE17D87F-99BC-4B4D-A0DE-0E71DF97404B}"/>
    <hyperlink ref="C242" r:id="rId108" xr:uid="{7CCF7295-4566-4BEF-8FF1-D5E5CCB7831A}"/>
    <hyperlink ref="C243" r:id="rId109" xr:uid="{15AA386F-0DE6-4B5E-A7D5-A9425E0E9828}"/>
    <hyperlink ref="C244" r:id="rId110" xr:uid="{D0B30C17-F063-4561-B237-C8C1CA22DFD0}"/>
    <hyperlink ref="C245:C248" r:id="rId111" display="ろう" xr:uid="{3BD43DBD-55EF-41BE-A011-822B56E450C7}"/>
    <hyperlink ref="C223" r:id="rId112" display="●壁？" xr:uid="{49CFE894-D6FF-4DAD-A18A-E33C19DC9AC5}"/>
    <hyperlink ref="D74" r:id="rId113" xr:uid="{F3D3E429-A98C-4A89-8517-136EBFF9C669}"/>
    <hyperlink ref="C257" r:id="rId114" xr:uid="{65E40566-30C3-4405-8F7A-889FBFB7DFFA}"/>
    <hyperlink ref="C258" r:id="rId115" xr:uid="{BE4AA912-B770-40E4-B906-EAE9C1551E1C}"/>
    <hyperlink ref="C259:C260" r:id="rId116" display="防人？" xr:uid="{2B5523F8-A971-4220-8F3C-30D15C2EFAC1}"/>
    <hyperlink ref="C261" r:id="rId117" xr:uid="{A2738428-E5CC-4B2A-93E5-98A379E30895}"/>
    <hyperlink ref="C262:C268" r:id="rId118" display="けがれ" xr:uid="{0008DCD2-FF21-4623-AAC5-7D91862F0C2E}"/>
    <hyperlink ref="C269" r:id="rId119" xr:uid="{BD07EEFC-0953-41F4-B152-A03CB1E62DC4}"/>
    <hyperlink ref="C270:C276" r:id="rId120" display="うらみ" xr:uid="{AF7C3CCE-674F-45CE-8880-D3E6B96A72C7}"/>
    <hyperlink ref="C277" r:id="rId121" display="○われ？" xr:uid="{93D39234-2F6B-48A9-AF1B-26A8DCC0436F}"/>
    <hyperlink ref="C278" r:id="rId122" display="○われ？" xr:uid="{43B0567D-7FF1-4466-9A48-2925BB68E51E}"/>
    <hyperlink ref="C279" r:id="rId123" display="○われ？" xr:uid="{730085F8-679A-4F43-A0AD-E4EC5F41661F}"/>
    <hyperlink ref="C280" r:id="rId124" display="掟に関するお知らせ" xr:uid="{1A4DC9C6-4F62-44F4-BFAF-8D66E3D35D8B}"/>
    <hyperlink ref="C281" r:id="rId125" display="掟に関するお知らせ" xr:uid="{EBD1E9CC-84B0-460B-A3E2-55F79D7D39D3}"/>
    <hyperlink ref="C282" r:id="rId126" xr:uid="{E7E2781E-A84B-4ABF-BA0A-C0ACB4E628F5}"/>
    <hyperlink ref="C283" r:id="rId127" xr:uid="{B4115520-C38F-4A66-BFE7-C7655D625C10}"/>
    <hyperlink ref="C284" r:id="rId128" xr:uid="{7862982D-035B-43A4-B686-1000FA5D7C0D}"/>
    <hyperlink ref="C285" r:id="rId129" xr:uid="{638B7DD6-1594-44CE-9207-871F21E21DD3}"/>
    <hyperlink ref="C286" r:id="rId130" xr:uid="{0A4BE00D-CD86-4A4E-ADBB-82650B816BF4}"/>
    <hyperlink ref="C249" r:id="rId131" display="無影言本祭" xr:uid="{8D13B183-FF2F-461F-87EA-DF266C32877C}"/>
    <hyperlink ref="C250" r:id="rId132" display="無影言本祭" xr:uid="{1204C86E-B414-49FA-9E5E-D39D616244E1}"/>
    <hyperlink ref="C251:C252" r:id="rId133" display="無影言本祭" xr:uid="{E5562058-48A6-4B14-99CC-EFD928C85B1B}"/>
    <hyperlink ref="C93" r:id="rId134" xr:uid="{157FEE6A-E3FD-4891-9A8C-DEA390CC9F8A}"/>
    <hyperlink ref="C287" r:id="rId135" xr:uid="{0075B865-AC5C-4CD6-A96F-92FBBAAF2768}"/>
    <hyperlink ref="C288" r:id="rId136" xr:uid="{C8BA9501-EE44-4CFB-8C71-4D8375052233}"/>
    <hyperlink ref="C289" r:id="rId137" xr:uid="{C9150616-ED4F-4165-A477-B18E3B15B682}"/>
    <hyperlink ref="D39" r:id="rId138" xr:uid="{A814B798-1BD3-434C-B188-D49492030CCC}"/>
    <hyperlink ref="C290" r:id="rId139" xr:uid="{C9E65C9C-C25F-45E6-B444-462D5DEBAEC0}"/>
    <hyperlink ref="C291" r:id="rId140" xr:uid="{DBF7BAF5-49A3-4A8E-9DED-4B2887F3CE62}"/>
    <hyperlink ref="C292" r:id="rId141" xr:uid="{856CA673-DC5F-4AEC-815F-9AD163802F68}"/>
    <hyperlink ref="C293" r:id="rId142" xr:uid="{66C8586D-D06E-4AD0-9AC5-6D8C307A0945}"/>
    <hyperlink ref="C294" r:id="rId143" xr:uid="{4D110E06-13FA-4A06-A46C-5E1613222922}"/>
    <hyperlink ref="C295" r:id="rId144" xr:uid="{747DC27C-EFD4-4C85-8D9E-98E8076C2057}"/>
    <hyperlink ref="C296" r:id="rId145" xr:uid="{0A0905C2-C20B-4D6D-8798-163F00EBF73E}"/>
    <hyperlink ref="C297" r:id="rId146" xr:uid="{E708436D-D4B2-4575-AB05-3A5582112BA8}"/>
    <hyperlink ref="C298" r:id="rId147" xr:uid="{BD02B744-CCFC-4E17-A6F9-B307C10818EA}"/>
    <hyperlink ref="C299" r:id="rId148" xr:uid="{2E536251-83F9-4A2E-959C-69A043D41889}"/>
    <hyperlink ref="C300" r:id="rId149" xr:uid="{93AC0A76-F50F-4760-8C14-2AC67D3644FA}"/>
    <hyperlink ref="D173" r:id="rId150" xr:uid="{46A5ADB1-85DA-423D-B952-8BE749A562E8}"/>
    <hyperlink ref="C301" r:id="rId151" xr:uid="{31232A6A-CA23-40C2-A40C-340903C41016}"/>
    <hyperlink ref="D62" r:id="rId152" xr:uid="{6E0266CA-E8F5-47A8-A403-F33C1896B0E2}"/>
    <hyperlink ref="D226" r:id="rId153" xr:uid="{7999C9A8-B4CB-4554-A69B-8553BF2B0081}"/>
    <hyperlink ref="C224" r:id="rId154" xr:uid="{526BD004-A80C-4961-870F-F33828CD8403}"/>
    <hyperlink ref="C225:C228" r:id="rId155" display="祭だん" xr:uid="{82D9F577-9D3F-4642-8006-C0804437E317}"/>
    <hyperlink ref="D132" r:id="rId156" xr:uid="{079AED01-7E13-48B1-AF30-0966E317E8BB}"/>
    <hyperlink ref="C302" r:id="rId157" xr:uid="{B64E68D0-DD98-4949-B102-A6783BDF9DB3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DA90F-1F55-4F1D-8A87-9E5B8F59D731}">
  <dimension ref="B2:D5"/>
  <sheetViews>
    <sheetView workbookViewId="0">
      <selection activeCell="C6" sqref="C6"/>
    </sheetView>
  </sheetViews>
  <sheetFormatPr defaultRowHeight="18.75" x14ac:dyDescent="0.4"/>
  <cols>
    <col min="2" max="2" width="14.625" bestFit="1" customWidth="1"/>
    <col min="3" max="3" width="48.375" bestFit="1" customWidth="1"/>
  </cols>
  <sheetData>
    <row r="2" spans="2:4" x14ac:dyDescent="0.4">
      <c r="B2" t="s">
        <v>2592</v>
      </c>
      <c r="C2" t="s">
        <v>2593</v>
      </c>
    </row>
    <row r="3" spans="2:4" x14ac:dyDescent="0.4">
      <c r="B3" t="s">
        <v>2774</v>
      </c>
      <c r="C3" t="s">
        <v>2773</v>
      </c>
      <c r="D3" t="s">
        <v>2776</v>
      </c>
    </row>
    <row r="4" spans="2:4" x14ac:dyDescent="0.4">
      <c r="B4" t="s">
        <v>2775</v>
      </c>
      <c r="C4" t="s">
        <v>2778</v>
      </c>
      <c r="D4" t="s">
        <v>2777</v>
      </c>
    </row>
    <row r="5" spans="2:4" x14ac:dyDescent="0.4">
      <c r="B5" t="s">
        <v>2779</v>
      </c>
      <c r="C5" t="s">
        <v>2788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対応表</vt:lpstr>
      <vt:lpstr>unicode</vt:lpstr>
      <vt:lpstr>検索文字</vt:lpstr>
      <vt:lpstr>検索メモ</vt:lpstr>
      <vt:lpstr>存在しない漢字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阿部　匠登</dc:creator>
  <cp:keywords/>
  <dc:description/>
  <cp:lastModifiedBy>優空 佐藤</cp:lastModifiedBy>
  <cp:revision/>
  <dcterms:created xsi:type="dcterms:W3CDTF">2026-08-11T13:29:07Z</dcterms:created>
  <dcterms:modified xsi:type="dcterms:W3CDTF">2026-08-25T15:35:12Z</dcterms:modified>
  <cp:category/>
  <cp:contentStatus/>
</cp:coreProperties>
</file>